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ЭтаКнига"/>
  <bookViews>
    <workbookView xWindow="-120" yWindow="-120" windowWidth="19440" windowHeight="13176"/>
  </bookViews>
  <sheets>
    <sheet name="Main" sheetId="1" r:id="rId1"/>
    <sheet name="Detailed" sheetId="7" state="hidden" r:id="rId2"/>
    <sheet name="Mean" sheetId="9" state="hidden" r:id="rId3"/>
    <sheet name="Services" sheetId="5" state="hidden" r:id="rId4"/>
    <sheet name="LSs" sheetId="2" state="hidden" r:id="rId5"/>
    <sheet name="QLs" sheetId="3" state="hidden" r:id="rId6"/>
    <sheet name="PTs" sheetId="10" state="hidden" r:id="rId7"/>
    <sheet name="ILs" sheetId="4" state="hidden" r:id="rId8"/>
    <sheet name="Users" sheetId="6" state="hidden" r:id="rId9"/>
  </sheets>
  <functionGroups builtInGroupCount="17"/>
  <definedNames>
    <definedName name="ProfileType">"Drop Down 11"</definedName>
    <definedName name="QualityLevel">"Drop Down 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 i="9" l="1"/>
  <c r="C25" i="9"/>
  <c r="C24" i="9"/>
  <c r="C23" i="9"/>
  <c r="C22" i="9"/>
  <c r="C21" i="9"/>
  <c r="C20" i="9"/>
  <c r="C19" i="9"/>
  <c r="C18" i="9"/>
  <c r="C17" i="9"/>
  <c r="C16" i="9"/>
  <c r="C15" i="9"/>
  <c r="C14" i="9"/>
  <c r="D321" i="7"/>
  <c r="D295" i="7"/>
  <c r="D269" i="7"/>
  <c r="D243" i="7"/>
  <c r="D217" i="7"/>
  <c r="D191" i="7"/>
  <c r="D165" i="7"/>
  <c r="D139" i="7"/>
  <c r="D113" i="7"/>
  <c r="D87" i="7"/>
  <c r="D61" i="7"/>
  <c r="D35" i="7"/>
  <c r="D9" i="7"/>
  <c r="C338" i="7"/>
  <c r="C337" i="7"/>
  <c r="C336" i="7"/>
  <c r="C335" i="7"/>
  <c r="C334" i="7"/>
  <c r="C333" i="7"/>
  <c r="C332" i="7"/>
  <c r="C331" i="7"/>
  <c r="C330" i="7"/>
  <c r="C329" i="7"/>
  <c r="C328" i="7"/>
  <c r="C327" i="7"/>
  <c r="C326" i="7"/>
  <c r="C312" i="7"/>
  <c r="C311" i="7"/>
  <c r="C310" i="7"/>
  <c r="C309" i="7"/>
  <c r="C308" i="7"/>
  <c r="C307" i="7"/>
  <c r="C306" i="7"/>
  <c r="C305" i="7"/>
  <c r="C304" i="7"/>
  <c r="C303" i="7"/>
  <c r="C302" i="7"/>
  <c r="C301" i="7"/>
  <c r="C300" i="7"/>
  <c r="C286" i="7"/>
  <c r="C285" i="7"/>
  <c r="C284" i="7"/>
  <c r="C283" i="7"/>
  <c r="C282" i="7"/>
  <c r="C281" i="7"/>
  <c r="C280" i="7"/>
  <c r="C279" i="7"/>
  <c r="C278" i="7"/>
  <c r="C277" i="7"/>
  <c r="C276" i="7"/>
  <c r="C275" i="7"/>
  <c r="C274" i="7"/>
  <c r="C260" i="7"/>
  <c r="C259" i="7"/>
  <c r="C258" i="7"/>
  <c r="C257" i="7"/>
  <c r="C256" i="7"/>
  <c r="C255" i="7"/>
  <c r="C254" i="7"/>
  <c r="C253" i="7"/>
  <c r="C252" i="7"/>
  <c r="C251" i="7"/>
  <c r="C250" i="7"/>
  <c r="C249" i="7"/>
  <c r="C248" i="7"/>
  <c r="C234" i="7"/>
  <c r="C233" i="7"/>
  <c r="C232" i="7"/>
  <c r="C231" i="7"/>
  <c r="C230" i="7"/>
  <c r="C229" i="7"/>
  <c r="C228" i="7"/>
  <c r="C227" i="7"/>
  <c r="C226" i="7"/>
  <c r="C225" i="7"/>
  <c r="C224" i="7"/>
  <c r="C223" i="7"/>
  <c r="C222" i="7"/>
  <c r="C208" i="7"/>
  <c r="C207" i="7"/>
  <c r="C206" i="7"/>
  <c r="C205" i="7"/>
  <c r="C204" i="7"/>
  <c r="C203" i="7"/>
  <c r="C202" i="7"/>
  <c r="C201" i="7"/>
  <c r="C200" i="7"/>
  <c r="C199" i="7"/>
  <c r="C198" i="7"/>
  <c r="C197" i="7"/>
  <c r="C196" i="7"/>
  <c r="C182" i="7"/>
  <c r="C181" i="7"/>
  <c r="C180" i="7"/>
  <c r="C179" i="7"/>
  <c r="C178" i="7"/>
  <c r="C177" i="7"/>
  <c r="C176" i="7"/>
  <c r="C175" i="7"/>
  <c r="C174" i="7"/>
  <c r="C173" i="7"/>
  <c r="C172" i="7"/>
  <c r="C171" i="7"/>
  <c r="C170" i="7"/>
  <c r="C156" i="7"/>
  <c r="C155" i="7"/>
  <c r="C154" i="7"/>
  <c r="C153" i="7"/>
  <c r="C152" i="7"/>
  <c r="C151" i="7"/>
  <c r="C150" i="7"/>
  <c r="C149" i="7"/>
  <c r="C148" i="7"/>
  <c r="C147" i="7"/>
  <c r="C146" i="7"/>
  <c r="C145" i="7"/>
  <c r="C144" i="7"/>
  <c r="C130" i="7"/>
  <c r="C129" i="7"/>
  <c r="C128" i="7"/>
  <c r="C127" i="7"/>
  <c r="C126" i="7"/>
  <c r="C125" i="7"/>
  <c r="C124" i="7"/>
  <c r="C123" i="7"/>
  <c r="C122" i="7"/>
  <c r="C121" i="7"/>
  <c r="C120" i="7"/>
  <c r="C119" i="7"/>
  <c r="C118" i="7"/>
  <c r="C104" i="7"/>
  <c r="C103" i="7"/>
  <c r="C102" i="7"/>
  <c r="C101" i="7"/>
  <c r="C100" i="7"/>
  <c r="C99" i="7"/>
  <c r="C98" i="7"/>
  <c r="C97" i="7"/>
  <c r="C96" i="7"/>
  <c r="C95" i="7"/>
  <c r="C94" i="7"/>
  <c r="C93" i="7"/>
  <c r="C92" i="7"/>
  <c r="C78" i="7"/>
  <c r="C77" i="7"/>
  <c r="C76" i="7"/>
  <c r="C75" i="7"/>
  <c r="C74" i="7"/>
  <c r="C73" i="7"/>
  <c r="C72" i="7"/>
  <c r="C71" i="7"/>
  <c r="C70" i="7"/>
  <c r="C69" i="7"/>
  <c r="C68" i="7"/>
  <c r="C67" i="7"/>
  <c r="C66" i="7"/>
  <c r="C52" i="7"/>
  <c r="C51" i="7"/>
  <c r="C50" i="7"/>
  <c r="C49" i="7"/>
  <c r="C48" i="7"/>
  <c r="C47" i="7"/>
  <c r="C46" i="7"/>
  <c r="C45" i="7"/>
  <c r="C44" i="7"/>
  <c r="C43" i="7"/>
  <c r="C42" i="7"/>
  <c r="C41" i="7"/>
  <c r="C40" i="7"/>
  <c r="C26" i="7"/>
  <c r="C25" i="7"/>
  <c r="C24" i="7"/>
  <c r="C23" i="7"/>
  <c r="C22" i="7"/>
  <c r="C21" i="7"/>
  <c r="C20" i="7"/>
  <c r="C19" i="7"/>
  <c r="C18" i="7"/>
  <c r="C17" i="7"/>
  <c r="C16" i="7"/>
  <c r="C15" i="7"/>
  <c r="C14" i="7"/>
  <c r="A100" i="6"/>
  <c r="P16" i="6"/>
  <c r="O2" i="6"/>
  <c r="N2" i="6"/>
  <c r="M2" i="6"/>
  <c r="L2" i="6"/>
  <c r="K2" i="6"/>
  <c r="J2" i="6"/>
  <c r="I2" i="6"/>
  <c r="H2" i="6"/>
  <c r="G2" i="6"/>
  <c r="F2" i="6"/>
  <c r="E2" i="6"/>
  <c r="D2" i="6"/>
  <c r="C2" i="6"/>
  <c r="C15" i="5"/>
  <c r="C16" i="5"/>
  <c r="N16" i="5"/>
  <c r="M16" i="5"/>
  <c r="J16" i="5"/>
  <c r="I16" i="5"/>
  <c r="H16" i="5"/>
  <c r="G16" i="5"/>
  <c r="D16" i="5"/>
  <c r="N15" i="5"/>
  <c r="M15" i="5"/>
  <c r="J15" i="5"/>
  <c r="I15" i="5"/>
  <c r="H15" i="5"/>
  <c r="G15" i="5"/>
  <c r="D15" i="5"/>
  <c r="G6" i="5" l="1"/>
  <c r="G7" i="5"/>
  <c r="G8" i="5"/>
  <c r="G9" i="5"/>
  <c r="G10" i="5"/>
  <c r="G11" i="5"/>
  <c r="G12" i="5"/>
  <c r="G13" i="5"/>
  <c r="G14" i="5"/>
  <c r="G5" i="5"/>
  <c r="G4" i="5"/>
  <c r="A100" i="5" l="1"/>
  <c r="N6" i="5"/>
  <c r="N7" i="5"/>
  <c r="N8" i="5"/>
  <c r="N9" i="5"/>
  <c r="N11" i="5"/>
  <c r="N12" i="5"/>
  <c r="N13" i="5"/>
  <c r="N14" i="5"/>
  <c r="M6" i="5"/>
  <c r="M7" i="5"/>
  <c r="M8" i="5"/>
  <c r="M9" i="5"/>
  <c r="M11" i="5"/>
  <c r="M12" i="5"/>
  <c r="M13" i="5"/>
  <c r="M14" i="5"/>
  <c r="N4" i="5"/>
  <c r="M4" i="5"/>
  <c r="J4" i="5"/>
  <c r="I4" i="5"/>
  <c r="N5" i="5"/>
  <c r="M5" i="5"/>
  <c r="J7" i="5"/>
  <c r="J8" i="5"/>
  <c r="J9" i="5"/>
  <c r="J10" i="5"/>
  <c r="J11" i="5"/>
  <c r="J12" i="5"/>
  <c r="J13" i="5"/>
  <c r="J14" i="5"/>
  <c r="J6" i="5"/>
  <c r="J5" i="5"/>
  <c r="I7" i="5"/>
  <c r="I8" i="5"/>
  <c r="I9" i="5"/>
  <c r="I10" i="5"/>
  <c r="I11" i="5"/>
  <c r="I12" i="5"/>
  <c r="I13" i="5"/>
  <c r="I14" i="5"/>
  <c r="I6" i="5"/>
  <c r="I5" i="5"/>
  <c r="H6" i="5"/>
  <c r="H7" i="5"/>
  <c r="H8" i="5"/>
  <c r="H9" i="5"/>
  <c r="H10" i="5"/>
  <c r="H11" i="5"/>
  <c r="H12" i="5"/>
  <c r="H13" i="5"/>
  <c r="H14" i="5"/>
  <c r="H5" i="5"/>
  <c r="H4" i="5"/>
  <c r="B67" i="2" l="1"/>
  <c r="B66" i="2"/>
</calcChain>
</file>

<file path=xl/sharedStrings.xml><?xml version="1.0" encoding="utf-8"?>
<sst xmlns="http://schemas.openxmlformats.org/spreadsheetml/2006/main" count="897" uniqueCount="86">
  <si>
    <t>General Requirments</t>
  </si>
  <si>
    <t>Quality Level</t>
  </si>
  <si>
    <t>School Connectivity Traffic Profile Constructor</t>
  </si>
  <si>
    <t>#</t>
  </si>
  <si>
    <t>Description of Scenario</t>
  </si>
  <si>
    <t>Workstations (or laptops) in the classrooms</t>
  </si>
  <si>
    <t>Worksstation (or laptops) in the teacher's offices</t>
  </si>
  <si>
    <t>Mobile devices of pupils (personal or provided by school)</t>
  </si>
  <si>
    <t>Mobile devices of teachers (personal or provided by school)</t>
  </si>
  <si>
    <t>School's Servers</t>
  </si>
  <si>
    <t>Possible or Not</t>
  </si>
  <si>
    <t>Traffic to the Internet</t>
  </si>
  <si>
    <t>Traffic from the Internet</t>
  </si>
  <si>
    <t>Lessons with using workstations in the classroom or mobile devices for access educational resources on the school's server or from the Internet</t>
  </si>
  <si>
    <t>N</t>
  </si>
  <si>
    <t>Y</t>
  </si>
  <si>
    <t>-</t>
  </si>
  <si>
    <t>Low</t>
  </si>
  <si>
    <t>High</t>
  </si>
  <si>
    <t>y</t>
  </si>
  <si>
    <t>Lessons prepared by teachers and published on the school's server or on the external server (in the Internet) and accessed by pupils from home</t>
  </si>
  <si>
    <t>Medium</t>
  </si>
  <si>
    <t xml:space="preserve"> Description</t>
  </si>
  <si>
    <t>Schools in hard-to-reach areas (including rural) in the countries where the internal backbone is not developed now and/or the external connectivity to the international communication channels is poor</t>
  </si>
  <si>
    <t>Intensivity Level</t>
  </si>
  <si>
    <t>Subscribers (users) with low intensity of particular service usage (f.e. primary school’s students)</t>
  </si>
  <si>
    <t>subscribers (users) with medium  intensity of particular  service usage (f.e. secondary school’s students)</t>
  </si>
  <si>
    <t>Subscribers (users) with high  intensity of particular  service usage (f.e. high school’s students and teaching staff)</t>
  </si>
  <si>
    <t>Name of Service</t>
  </si>
  <si>
    <t>Maximum Latency, ms</t>
  </si>
  <si>
    <t>Data Transfer Rate (for one session), Mbit/s</t>
  </si>
  <si>
    <t>Volume of Data (per session), MB</t>
  </si>
  <si>
    <t>Users (Devices) Category</t>
  </si>
  <si>
    <t>Primary school’s students' mobile devices</t>
  </si>
  <si>
    <t>Secondary school’s students' mobile devices</t>
  </si>
  <si>
    <t>Primary school’s students' workstations (or laptops) in the classrooms</t>
  </si>
  <si>
    <t>Secondary school’s students' workstations (or laptops) in the classrooms</t>
  </si>
  <si>
    <t>High school’s students' workstations (or laptops) in the classrooms</t>
  </si>
  <si>
    <t>High school’s students' mobile devices</t>
  </si>
  <si>
    <t>Teaching staff' workstations (or laptops) in the teacher's offices or in the classrooms</t>
  </si>
  <si>
    <t>Teaching staff' mobile devices</t>
  </si>
  <si>
    <t>Administrative personel' workstations (or laptops) in the  offices</t>
  </si>
  <si>
    <t>Administrative personel' mobile devices</t>
  </si>
  <si>
    <t>N/U</t>
  </si>
  <si>
    <t>Profile Name</t>
  </si>
  <si>
    <t>Profile Type</t>
  </si>
  <si>
    <t>Detailed (Individual Connectivity Traffic Profile for each group of Users)</t>
  </si>
  <si>
    <t>Group of Users #1</t>
  </si>
  <si>
    <t>Traffic Profile Characteristics</t>
  </si>
  <si>
    <t>Mean Values</t>
  </si>
  <si>
    <t>Deviation</t>
  </si>
  <si>
    <t>Expected amount of Users (devices)</t>
  </si>
  <si>
    <t>Mean Values (General Connectivity Traffic Profile for whole School) - Variant 2</t>
  </si>
  <si>
    <t>Mean Values (General Connectivity Traffic Profile for whole School) - Variant 1</t>
  </si>
  <si>
    <t>Intensity of Using (for one user), requests / hour</t>
  </si>
  <si>
    <t>Intensity Level</t>
  </si>
  <si>
    <t>Services / Intensity of Usage</t>
  </si>
  <si>
    <t xml:space="preserve">Schools in countries with existing broadband coverage for at least 50% of population &amp; theritory with more then one external international communication channel </t>
  </si>
  <si>
    <t xml:space="preserve">Schools in countries with good broadband coverage and international communication channels </t>
  </si>
  <si>
    <t>Streaming video, including interactive online TV, live-stream trainings, individualized live video instructions etc.</t>
  </si>
  <si>
    <t>Services for group &amp; individual communication, including webinars, conferences, meetings, tutoring, etc.</t>
  </si>
  <si>
    <t>Online virtual simulators, educational online games, etc.</t>
  </si>
  <si>
    <t>Services for group work (virtual boards, online graphics, etc.)</t>
  </si>
  <si>
    <t>Other Real Time Traffic Services</t>
  </si>
  <si>
    <t>Recorded educational clips, video instructions, trainings, Individualized recorded video, multimedia courses etc.</t>
  </si>
  <si>
    <t>Web-serfing, Search engines, bookmarking services, etc. E-mail, FTP and other classic services</t>
  </si>
  <si>
    <t>Discussion boards, Social media &amp; networks, forums etc.</t>
  </si>
  <si>
    <t>Other Non-Real Time Traffic Services</t>
  </si>
  <si>
    <t>Detailed</t>
  </si>
  <si>
    <t>Mean Values - Variant 1</t>
  </si>
  <si>
    <t>Mean Values - Variant 2</t>
  </si>
  <si>
    <t>General Connectivity Traffic Profile for whole School. In this variant one common profile will be generated by using information about majority of the levels of intensity for different Groups of Users withing the same service. For example: if the majority of user groups will be using some service with High intensity - the mean intensity for all school will be High. Number of user devices in the groups will not taken into account</t>
  </si>
  <si>
    <t xml:space="preserve">Individual Connectivity Traffic Profile for each group of Users. In case of choosing this option a number of sub-profiles will be generated within one common school profile. Each sub-profile will be related to some User Group. </t>
  </si>
  <si>
    <t>General Connectivity Traffic Profile for whole School. In this variant one common profile will be generated by using information about number of devices in the User Groups. Group with bigger amount of devices will have bigger influence into resulting parameters of intencity. For example: if one Group of User has majority of devices in school its level intensity will be used as common level of intensity of using particular service for whole school</t>
  </si>
  <si>
    <t>Calendars and organizers, including lessons planning. Government e-portal access. Reporting Services etc.</t>
  </si>
  <si>
    <t>Learning management systems, including libraries, repositories, databases, educational web-services, services for storing information etc.</t>
  </si>
  <si>
    <t>Garbatula Boarding (Garbatula, Isiolo)</t>
  </si>
  <si>
    <t>QoE degradation probability</t>
  </si>
  <si>
    <t>User Defined Service #1</t>
  </si>
  <si>
    <t>User Defined Service #2</t>
  </si>
  <si>
    <t xml:space="preserve">Please, don't change the number of services in the list by removing or adding rows in the table above.  Instiad you can modify parameters for Medium levels (both for Quality &amp; for Intensity sets). If you don't want to include some some services in the profile, just put 0 in the relevant fields. The values for Low &amp; High levels are calculating automatically by using persentage deviation that could be changed on the relevant screens (Quality Levels &amp; Intensity Levels buttons on the Main screen of Constructor). You can also exclude service from the calculation processes by setting N/U (Not used) across all user groups in the matrix of intencity. Two last rows in the table above can be used for adding 1 or 2 additional services that not covered by any other. If you no need in these two additionall services please don't remove these rows - just leave them with zero values as is. </t>
  </si>
  <si>
    <t>Guests' and community's mobile devices</t>
  </si>
  <si>
    <t>User Defined Group #1</t>
  </si>
  <si>
    <t>User Defined Group #2</t>
  </si>
  <si>
    <t>Please, don't change the number of services or number of user groups  in the list by removing or adding rows or coloumns in the table above.  Instiad you can change Intensity level of any record to "N/U" (Not Used). You can exclude some service or user group from the calculation processes by setting N/U (Not used) across all user groups (for exluding service) or across all services (for excluding particular user group) in the matrix above. Two last rows in the matrix above can be used for adding 1 or 2 additional user groups that not covered by any other. If you no need in these two additionall user groups please don't remove these rows - just leave them with "N/U" values as is. You also no need to set number of devices in groups if you do not want to make calculation of bandwidth and will not be using algorithm "Mean Values - Variant 2" for profile generation. You can read more about it in the description of the Types of Profiles.</t>
  </si>
  <si>
    <t>Group of Users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</si>
</sst>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2" x14ac:knownFonts="1">
    <font>
      <sz val="11"/>
      <color theme="1"/>
      <name val="Calibri"/>
      <family val="2"/>
      <scheme val="minor"/>
    </font>
    <font>
      <sz val="28"/>
      <color rgb="FF7030A0"/>
      <name val="Aharoni"/>
    </font>
    <font>
      <sz val="16"/>
      <color theme="8" tint="-0.499984740745262"/>
      <name val="Aharoni"/>
    </font>
    <font>
      <u/>
      <sz val="16"/>
      <color theme="1"/>
      <name val="Calibri Light"/>
      <family val="2"/>
      <charset val="204"/>
      <scheme val="major"/>
    </font>
    <font>
      <sz val="11"/>
      <color rgb="FF000000"/>
      <name val="Calibri"/>
      <family val="2"/>
      <charset val="204"/>
    </font>
    <font>
      <b/>
      <sz val="11"/>
      <color theme="1"/>
      <name val="Calibri"/>
      <family val="2"/>
      <charset val="204"/>
      <scheme val="minor"/>
    </font>
    <font>
      <sz val="11"/>
      <color theme="0"/>
      <name val="Calibri"/>
      <family val="2"/>
      <scheme val="minor"/>
    </font>
    <font>
      <sz val="11"/>
      <color rgb="FF00B0F0"/>
      <name val="Calibri"/>
      <family val="2"/>
      <scheme val="minor"/>
    </font>
    <font>
      <sz val="8"/>
      <color rgb="FF000000"/>
      <name val="Segoe UI"/>
      <family val="2"/>
      <charset val="204"/>
    </font>
    <font>
      <b/>
      <u/>
      <sz val="11"/>
      <color theme="1"/>
      <name val="Calibri"/>
      <family val="2"/>
      <charset val="204"/>
      <scheme val="minor"/>
    </font>
    <font>
      <b/>
      <sz val="24"/>
      <color rgb="FF7030A0"/>
      <name val="Calibri"/>
      <family val="2"/>
      <charset val="204"/>
      <scheme val="minor"/>
    </font>
    <font>
      <sz val="10"/>
      <color theme="1"/>
      <name val="Calibri"/>
      <family val="2"/>
      <scheme val="minor"/>
    </font>
  </fonts>
  <fills count="19">
    <fill>
      <patternFill patternType="none"/>
    </fill>
    <fill>
      <patternFill patternType="gray125"/>
    </fill>
    <fill>
      <patternFill patternType="solid">
        <fgColor theme="4"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rgb="FF00B05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F2F2F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auto="1"/>
      </left>
      <right style="thin">
        <color auto="1"/>
      </right>
      <top style="thin">
        <color auto="1"/>
      </top>
      <bottom/>
      <diagonal/>
    </border>
    <border>
      <left/>
      <right/>
      <top style="thin">
        <color auto="1"/>
      </top>
      <bottom style="thin">
        <color auto="1"/>
      </bottom>
      <diagonal/>
    </border>
    <border>
      <left style="thick">
        <color rgb="FFFF0000"/>
      </left>
      <right style="thin">
        <color theme="1"/>
      </right>
      <top style="thick">
        <color rgb="FFFF0000"/>
      </top>
      <bottom style="thin">
        <color theme="1"/>
      </bottom>
      <diagonal/>
    </border>
    <border>
      <left style="thin">
        <color theme="1"/>
      </left>
      <right style="thick">
        <color rgb="FFFF0000"/>
      </right>
      <top style="thick">
        <color rgb="FFFF0000"/>
      </top>
      <bottom style="thin">
        <color theme="1"/>
      </bottom>
      <diagonal/>
    </border>
    <border>
      <left style="thick">
        <color rgb="FFFF0000"/>
      </left>
      <right style="thin">
        <color theme="1"/>
      </right>
      <top style="thin">
        <color theme="1"/>
      </top>
      <bottom style="thin">
        <color theme="1"/>
      </bottom>
      <diagonal/>
    </border>
    <border>
      <left style="thin">
        <color theme="1"/>
      </left>
      <right style="thick">
        <color rgb="FFFF0000"/>
      </right>
      <top style="thin">
        <color theme="1"/>
      </top>
      <bottom style="thin">
        <color theme="1"/>
      </bottom>
      <diagonal/>
    </border>
    <border>
      <left style="thick">
        <color rgb="FFFF0000"/>
      </left>
      <right style="thin">
        <color theme="1"/>
      </right>
      <top style="thin">
        <color theme="1"/>
      </top>
      <bottom style="thick">
        <color rgb="FFFF0000"/>
      </bottom>
      <diagonal/>
    </border>
    <border>
      <left style="thin">
        <color theme="1"/>
      </left>
      <right style="thick">
        <color rgb="FFFF0000"/>
      </right>
      <top style="thin">
        <color theme="1"/>
      </top>
      <bottom style="thick">
        <color rgb="FFFF0000"/>
      </bottom>
      <diagonal/>
    </border>
    <border>
      <left style="thin">
        <color auto="1"/>
      </left>
      <right/>
      <top/>
      <bottom style="thin">
        <color auto="1"/>
      </bottom>
      <diagonal/>
    </border>
    <border>
      <left/>
      <right/>
      <top/>
      <bottom style="thin">
        <color auto="1"/>
      </bottom>
      <diagonal/>
    </border>
    <border>
      <left/>
      <right/>
      <top style="thin">
        <color auto="1"/>
      </top>
      <bottom/>
      <diagonal/>
    </border>
    <border>
      <left style="medium">
        <color rgb="FF000000"/>
      </left>
      <right/>
      <top style="medium">
        <color rgb="FF000000"/>
      </top>
      <bottom style="medium">
        <color rgb="FF000000"/>
      </bottom>
      <diagonal/>
    </border>
    <border>
      <left style="medium">
        <color rgb="FF000000"/>
      </left>
      <right/>
      <top/>
      <bottom style="medium">
        <color rgb="FF000000"/>
      </bottom>
      <diagonal/>
    </border>
  </borders>
  <cellStyleXfs count="1">
    <xf numFmtId="0" fontId="0" fillId="0" borderId="0"/>
  </cellStyleXfs>
  <cellXfs count="115">
    <xf numFmtId="0" fontId="0" fillId="0" borderId="0" xfId="0"/>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vertical="center" wrapText="1"/>
    </xf>
    <xf numFmtId="0" fontId="0" fillId="6" borderId="0" xfId="0" applyFill="1" applyProtection="1">
      <protection hidden="1"/>
    </xf>
    <xf numFmtId="0" fontId="7" fillId="6" borderId="0" xfId="0" applyFont="1" applyFill="1" applyProtection="1">
      <protection hidden="1"/>
    </xf>
    <xf numFmtId="0" fontId="0" fillId="0" borderId="0" xfId="0" applyAlignment="1" applyProtection="1">
      <alignment horizontal="center" vertical="center" wrapText="1"/>
      <protection hidden="1"/>
    </xf>
    <xf numFmtId="0" fontId="0" fillId="6" borderId="1" xfId="0" applyFill="1" applyBorder="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0" fontId="5" fillId="2" borderId="1" xfId="0" applyFont="1" applyFill="1" applyBorder="1" applyAlignment="1" applyProtection="1">
      <alignment horizontal="center" vertical="center" wrapText="1"/>
      <protection hidden="1"/>
    </xf>
    <xf numFmtId="0" fontId="5" fillId="2" borderId="2" xfId="0" applyFont="1" applyFill="1" applyBorder="1" applyAlignment="1" applyProtection="1">
      <alignment horizontal="center" vertical="center" wrapText="1"/>
      <protection hidden="1"/>
    </xf>
    <xf numFmtId="0" fontId="5" fillId="9" borderId="3" xfId="0" applyFont="1" applyFill="1" applyBorder="1" applyAlignment="1" applyProtection="1">
      <alignment horizontal="center" vertical="center" wrapText="1"/>
      <protection hidden="1"/>
    </xf>
    <xf numFmtId="0" fontId="5" fillId="9" borderId="1" xfId="0" applyFont="1" applyFill="1" applyBorder="1" applyAlignment="1" applyProtection="1">
      <alignment horizontal="center" vertical="center" wrapText="1"/>
      <protection hidden="1"/>
    </xf>
    <xf numFmtId="0" fontId="5" fillId="10" borderId="1" xfId="0" applyFont="1" applyFill="1" applyBorder="1" applyAlignment="1" applyProtection="1">
      <alignment horizontal="center" vertical="center" wrapText="1"/>
      <protection hidden="1"/>
    </xf>
    <xf numFmtId="0" fontId="5" fillId="10" borderId="2" xfId="0" applyFont="1" applyFill="1" applyBorder="1" applyAlignment="1" applyProtection="1">
      <alignment horizontal="center" vertical="center" wrapText="1"/>
      <protection hidden="1"/>
    </xf>
    <xf numFmtId="0" fontId="5" fillId="12" borderId="3" xfId="0" applyFont="1" applyFill="1" applyBorder="1" applyAlignment="1" applyProtection="1">
      <alignment horizontal="center" vertical="center" wrapText="1"/>
      <protection hidden="1"/>
    </xf>
    <xf numFmtId="0" fontId="5" fillId="12" borderId="1" xfId="0" applyFont="1" applyFill="1" applyBorder="1" applyAlignment="1" applyProtection="1">
      <alignment horizontal="center" vertical="center" wrapText="1"/>
      <protection hidden="1"/>
    </xf>
    <xf numFmtId="0" fontId="0" fillId="13" borderId="1" xfId="0" applyFill="1" applyBorder="1" applyAlignment="1" applyProtection="1">
      <alignment horizontal="center" vertical="center" wrapText="1"/>
      <protection hidden="1"/>
    </xf>
    <xf numFmtId="1" fontId="0" fillId="2" borderId="1" xfId="0" applyNumberFormat="1" applyFill="1" applyBorder="1" applyAlignment="1" applyProtection="1">
      <alignment horizontal="center" vertical="center" wrapText="1"/>
      <protection hidden="1"/>
    </xf>
    <xf numFmtId="164" fontId="0" fillId="2" borderId="2" xfId="0" applyNumberFormat="1" applyFill="1" applyBorder="1" applyAlignment="1" applyProtection="1">
      <alignment horizontal="center" vertical="center" wrapText="1"/>
      <protection hidden="1"/>
    </xf>
    <xf numFmtId="0" fontId="0" fillId="9" borderId="3" xfId="0" applyFill="1" applyBorder="1" applyAlignment="1" applyProtection="1">
      <alignment horizontal="center" vertical="center" wrapText="1"/>
      <protection hidden="1"/>
    </xf>
    <xf numFmtId="0" fontId="0" fillId="9" borderId="1" xfId="0" applyFill="1" applyBorder="1" applyAlignment="1" applyProtection="1">
      <alignment horizontal="center" vertical="center" wrapText="1"/>
      <protection hidden="1"/>
    </xf>
    <xf numFmtId="0" fontId="0" fillId="10" borderId="1" xfId="0" applyFill="1" applyBorder="1" applyAlignment="1" applyProtection="1">
      <alignment horizontal="center" vertical="center" wrapText="1"/>
      <protection hidden="1"/>
    </xf>
    <xf numFmtId="0" fontId="0" fillId="10" borderId="2" xfId="0" applyFill="1" applyBorder="1" applyAlignment="1" applyProtection="1">
      <alignment horizontal="center" vertical="center" wrapText="1"/>
      <protection hidden="1"/>
    </xf>
    <xf numFmtId="0" fontId="0" fillId="12" borderId="3" xfId="0" applyFill="1" applyBorder="1" applyAlignment="1" applyProtection="1">
      <alignment horizontal="center" vertical="center" wrapText="1"/>
      <protection hidden="1"/>
    </xf>
    <xf numFmtId="0" fontId="0" fillId="12" borderId="1" xfId="0" applyFill="1" applyBorder="1" applyAlignment="1" applyProtection="1">
      <alignment horizontal="center" vertical="center" wrapText="1"/>
      <protection hidden="1"/>
    </xf>
    <xf numFmtId="0" fontId="0" fillId="3" borderId="0" xfId="0" applyFill="1" applyAlignment="1" applyProtection="1">
      <alignment horizontal="center" vertical="center" wrapText="1"/>
      <protection hidden="1"/>
    </xf>
    <xf numFmtId="0" fontId="0" fillId="4" borderId="0" xfId="0" applyFill="1" applyAlignment="1" applyProtection="1">
      <alignment horizontal="center" vertical="center" wrapText="1"/>
      <protection hidden="1"/>
    </xf>
    <xf numFmtId="0" fontId="0" fillId="16" borderId="0" xfId="0" applyFill="1" applyAlignment="1" applyProtection="1">
      <alignment horizontal="center" vertical="center" wrapText="1"/>
      <protection hidden="1"/>
    </xf>
    <xf numFmtId="9" fontId="0" fillId="0" borderId="0" xfId="0" applyNumberFormat="1" applyAlignment="1" applyProtection="1">
      <alignment horizontal="center" vertical="center" wrapText="1"/>
      <protection hidden="1"/>
    </xf>
    <xf numFmtId="0" fontId="0" fillId="11" borderId="4" xfId="0" applyFill="1" applyBorder="1" applyAlignment="1" applyProtection="1">
      <alignment horizontal="center" vertical="center" wrapText="1"/>
      <protection hidden="1"/>
    </xf>
    <xf numFmtId="0" fontId="0" fillId="11" borderId="5" xfId="0" applyFill="1" applyBorder="1" applyAlignment="1" applyProtection="1">
      <alignment horizontal="center" vertical="center" wrapText="1"/>
      <protection hidden="1"/>
    </xf>
    <xf numFmtId="0" fontId="0" fillId="0" borderId="6" xfId="0" applyBorder="1" applyAlignment="1" applyProtection="1">
      <alignment horizontal="center" vertical="center" wrapText="1"/>
      <protection hidden="1"/>
    </xf>
    <xf numFmtId="0" fontId="0" fillId="15" borderId="0" xfId="0" applyFill="1" applyAlignment="1" applyProtection="1">
      <alignment horizontal="center" vertical="center" wrapText="1"/>
      <protection hidden="1"/>
    </xf>
    <xf numFmtId="0" fontId="0" fillId="14" borderId="0" xfId="0" applyFill="1" applyAlignment="1" applyProtection="1">
      <alignment horizontal="center" vertical="center" wrapText="1"/>
      <protection hidden="1"/>
    </xf>
    <xf numFmtId="0" fontId="1" fillId="17" borderId="0" xfId="0" applyFont="1" applyFill="1" applyAlignment="1" applyProtection="1">
      <alignment horizontal="center" vertical="center"/>
      <protection hidden="1"/>
    </xf>
    <xf numFmtId="0" fontId="0" fillId="17" borderId="0" xfId="0" applyFill="1" applyAlignment="1" applyProtection="1">
      <alignment horizontal="center" vertical="center" wrapText="1"/>
      <protection hidden="1"/>
    </xf>
    <xf numFmtId="0" fontId="2" fillId="17" borderId="0" xfId="0" applyFont="1" applyFill="1" applyAlignment="1" applyProtection="1">
      <alignment horizontal="center" vertical="center"/>
      <protection hidden="1"/>
    </xf>
    <xf numFmtId="0" fontId="9" fillId="0" borderId="0" xfId="0" applyFont="1" applyAlignment="1" applyProtection="1">
      <alignment horizontal="center" vertical="center"/>
      <protection hidden="1"/>
    </xf>
    <xf numFmtId="0" fontId="0" fillId="17" borderId="0" xfId="0" applyFill="1" applyBorder="1" applyAlignment="1" applyProtection="1">
      <alignment horizontal="center" vertical="center" wrapText="1"/>
      <protection hidden="1"/>
    </xf>
    <xf numFmtId="0" fontId="0" fillId="2" borderId="1" xfId="0" applyFill="1" applyBorder="1" applyAlignment="1" applyProtection="1">
      <alignment horizontal="center" vertical="center" wrapText="1"/>
      <protection hidden="1"/>
    </xf>
    <xf numFmtId="164" fontId="0" fillId="2" borderId="1" xfId="0" applyNumberFormat="1" applyFill="1" applyBorder="1" applyAlignment="1" applyProtection="1">
      <alignment horizontal="center" vertical="center" wrapText="1"/>
      <protection hidden="1"/>
    </xf>
    <xf numFmtId="0" fontId="3" fillId="17" borderId="0" xfId="0" applyFont="1" applyFill="1" applyAlignment="1" applyProtection="1">
      <alignment horizontal="center" vertical="center"/>
      <protection hidden="1"/>
    </xf>
    <xf numFmtId="0" fontId="0" fillId="0" borderId="5" xfId="0" applyBorder="1" applyAlignment="1" applyProtection="1">
      <alignment horizontal="center" vertical="center" wrapText="1"/>
      <protection hidden="1"/>
    </xf>
    <xf numFmtId="10" fontId="0" fillId="0" borderId="0" xfId="0" applyNumberFormat="1" applyAlignment="1" applyProtection="1">
      <alignment horizontal="center" vertical="center" wrapText="1"/>
      <protection hidden="1"/>
    </xf>
    <xf numFmtId="10" fontId="0" fillId="0" borderId="6" xfId="0" applyNumberFormat="1" applyBorder="1" applyAlignment="1" applyProtection="1">
      <alignment horizontal="center" vertical="center" wrapText="1"/>
      <protection hidden="1"/>
    </xf>
    <xf numFmtId="0" fontId="0" fillId="13" borderId="1" xfId="0" applyFill="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0" fillId="0" borderId="0" xfId="0" applyFill="1" applyAlignment="1" applyProtection="1">
      <alignment horizontal="center" vertical="center" wrapText="1"/>
      <protection hidden="1"/>
    </xf>
    <xf numFmtId="2" fontId="0" fillId="10" borderId="1" xfId="0" applyNumberFormat="1" applyFill="1" applyBorder="1" applyAlignment="1" applyProtection="1">
      <alignment horizontal="center" vertical="center" wrapText="1"/>
      <protection hidden="1"/>
    </xf>
    <xf numFmtId="0" fontId="0" fillId="17" borderId="0" xfId="0" applyFill="1" applyBorder="1" applyAlignment="1" applyProtection="1">
      <alignment horizontal="center" vertical="center" wrapText="1"/>
      <protection hidden="1"/>
    </xf>
    <xf numFmtId="0" fontId="5" fillId="2" borderId="1" xfId="0" applyFont="1" applyFill="1" applyBorder="1" applyAlignment="1" applyProtection="1">
      <alignment horizontal="center" vertical="center" wrapText="1"/>
      <protection hidden="1"/>
    </xf>
    <xf numFmtId="0" fontId="5" fillId="10" borderId="1" xfId="0" applyFont="1" applyFill="1" applyBorder="1" applyAlignment="1" applyProtection="1">
      <alignment horizontal="center" vertical="center" wrapText="1"/>
      <protection hidden="1"/>
    </xf>
    <xf numFmtId="0" fontId="0" fillId="6" borderId="1" xfId="0" applyFill="1" applyBorder="1" applyAlignment="1" applyProtection="1">
      <alignment horizontal="center" vertical="center" wrapText="1"/>
      <protection hidden="1"/>
    </xf>
    <xf numFmtId="0" fontId="5" fillId="8" borderId="11" xfId="0" applyFont="1" applyFill="1" applyBorder="1" applyAlignment="1" applyProtection="1">
      <alignment horizontal="center" vertical="center" wrapText="1"/>
      <protection hidden="1"/>
    </xf>
    <xf numFmtId="0" fontId="5" fillId="8" borderId="12" xfId="0" applyFont="1" applyFill="1" applyBorder="1" applyAlignment="1" applyProtection="1">
      <alignment horizontal="center" vertical="center" wrapText="1"/>
      <protection hidden="1"/>
    </xf>
    <xf numFmtId="0" fontId="0" fillId="8" borderId="11" xfId="0" applyFill="1" applyBorder="1" applyAlignment="1" applyProtection="1">
      <alignment horizontal="center" vertical="center" wrapText="1"/>
      <protection hidden="1"/>
    </xf>
    <xf numFmtId="0" fontId="0" fillId="8" borderId="12" xfId="0" applyFill="1" applyBorder="1" applyAlignment="1" applyProtection="1">
      <alignment horizontal="center" vertical="center" wrapText="1"/>
      <protection hidden="1"/>
    </xf>
    <xf numFmtId="0" fontId="0" fillId="8" borderId="13" xfId="0" applyFill="1" applyBorder="1" applyAlignment="1" applyProtection="1">
      <alignment horizontal="center" vertical="center" wrapText="1"/>
      <protection hidden="1"/>
    </xf>
    <xf numFmtId="0" fontId="0" fillId="8" borderId="14" xfId="0" applyFill="1" applyBorder="1" applyAlignment="1" applyProtection="1">
      <alignment horizontal="center" vertical="center" wrapText="1"/>
      <protection hidden="1"/>
    </xf>
    <xf numFmtId="0" fontId="5" fillId="11" borderId="11" xfId="0" applyFont="1" applyFill="1" applyBorder="1" applyAlignment="1" applyProtection="1">
      <alignment horizontal="center" vertical="center" wrapText="1"/>
      <protection hidden="1"/>
    </xf>
    <xf numFmtId="0" fontId="5" fillId="11" borderId="12" xfId="0" applyFont="1" applyFill="1" applyBorder="1" applyAlignment="1" applyProtection="1">
      <alignment horizontal="center" vertical="center" wrapText="1"/>
      <protection hidden="1"/>
    </xf>
    <xf numFmtId="0" fontId="0" fillId="11" borderId="11" xfId="0" applyFill="1" applyBorder="1" applyAlignment="1" applyProtection="1">
      <alignment horizontal="center" vertical="center" wrapText="1"/>
      <protection hidden="1"/>
    </xf>
    <xf numFmtId="0" fontId="0" fillId="11" borderId="12" xfId="0" applyFill="1" applyBorder="1" applyAlignment="1" applyProtection="1">
      <alignment horizontal="center" vertical="center" wrapText="1"/>
      <protection hidden="1"/>
    </xf>
    <xf numFmtId="0" fontId="0" fillId="11" borderId="13" xfId="0" applyFill="1" applyBorder="1" applyAlignment="1" applyProtection="1">
      <alignment horizontal="center" vertical="center" wrapText="1"/>
      <protection hidden="1"/>
    </xf>
    <xf numFmtId="0" fontId="0" fillId="11" borderId="14" xfId="0" applyFill="1" applyBorder="1" applyAlignment="1" applyProtection="1">
      <alignment horizontal="center" vertical="center" wrapText="1"/>
      <protection hidden="1"/>
    </xf>
    <xf numFmtId="0" fontId="11" fillId="6" borderId="1" xfId="0" applyFont="1" applyFill="1" applyBorder="1" applyAlignment="1" applyProtection="1">
      <alignment horizontal="center" vertical="center" textRotation="90" wrapText="1"/>
      <protection hidden="1"/>
    </xf>
    <xf numFmtId="0" fontId="0" fillId="6" borderId="1" xfId="0" applyFill="1" applyBorder="1" applyAlignment="1" applyProtection="1">
      <alignment horizontal="center" vertical="center" wrapText="1"/>
      <protection hidden="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18" borderId="18" xfId="0" applyFont="1" applyFill="1" applyBorder="1" applyAlignment="1">
      <alignment horizontal="center" vertical="center" wrapText="1"/>
    </xf>
    <xf numFmtId="0" fontId="4" fillId="18" borderId="19" xfId="0" applyFont="1" applyFill="1" applyBorder="1" applyAlignment="1">
      <alignment horizontal="center" vertical="center" wrapText="1"/>
    </xf>
    <xf numFmtId="0" fontId="1" fillId="6" borderId="0" xfId="0" applyFont="1" applyFill="1" applyAlignment="1" applyProtection="1">
      <alignment horizontal="center" vertical="center" wrapText="1"/>
      <protection hidden="1"/>
    </xf>
    <xf numFmtId="0" fontId="2" fillId="6" borderId="0" xfId="0" applyFont="1" applyFill="1" applyAlignment="1" applyProtection="1">
      <alignment horizontal="center" vertical="center" wrapText="1"/>
      <protection hidden="1"/>
    </xf>
    <xf numFmtId="0" fontId="3" fillId="6" borderId="0" xfId="0" applyFont="1" applyFill="1" applyAlignment="1" applyProtection="1">
      <alignment horizontal="center" vertical="center"/>
      <protection hidden="1"/>
    </xf>
    <xf numFmtId="0" fontId="11" fillId="13" borderId="2" xfId="0" applyFont="1" applyFill="1" applyBorder="1" applyAlignment="1" applyProtection="1">
      <alignment horizontal="center" vertical="center" wrapText="1"/>
      <protection hidden="1"/>
    </xf>
    <xf numFmtId="0" fontId="11" fillId="13" borderId="8" xfId="0" applyFont="1" applyFill="1" applyBorder="1" applyAlignment="1" applyProtection="1">
      <alignment horizontal="center" vertical="center" wrapText="1"/>
      <protection hidden="1"/>
    </xf>
    <xf numFmtId="0" fontId="11" fillId="13" borderId="3" xfId="0" applyFont="1" applyFill="1" applyBorder="1" applyAlignment="1" applyProtection="1">
      <alignment horizontal="center" vertical="center" wrapText="1"/>
      <protection hidden="1"/>
    </xf>
    <xf numFmtId="0" fontId="5" fillId="17" borderId="0" xfId="0" applyFont="1" applyFill="1" applyBorder="1" applyAlignment="1" applyProtection="1">
      <alignment horizontal="center" vertical="center" wrapText="1"/>
      <protection hidden="1"/>
    </xf>
    <xf numFmtId="0" fontId="9" fillId="17" borderId="0" xfId="0" applyFont="1" applyFill="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5" fillId="5" borderId="1" xfId="0" applyFont="1" applyFill="1" applyBorder="1" applyAlignment="1" applyProtection="1">
      <alignment horizontal="center" vertical="center" wrapText="1"/>
      <protection hidden="1"/>
    </xf>
    <xf numFmtId="0" fontId="0" fillId="0" borderId="1" xfId="0" applyBorder="1" applyAlignment="1" applyProtection="1">
      <alignment horizontal="center" vertical="center" wrapText="1"/>
      <protection hidden="1"/>
    </xf>
    <xf numFmtId="0" fontId="0" fillId="5" borderId="1" xfId="0" applyFill="1" applyBorder="1" applyAlignment="1" applyProtection="1">
      <alignment horizontal="center" vertical="center" wrapText="1"/>
      <protection hidden="1"/>
    </xf>
    <xf numFmtId="0" fontId="3" fillId="17" borderId="0" xfId="0" applyFont="1" applyFill="1" applyAlignment="1" applyProtection="1">
      <alignment horizontal="center" vertical="center"/>
      <protection hidden="1"/>
    </xf>
    <xf numFmtId="0" fontId="10" fillId="17" borderId="0" xfId="0" applyFont="1" applyFill="1" applyAlignment="1" applyProtection="1">
      <alignment horizontal="center" vertical="center" wrapText="1"/>
      <protection hidden="1"/>
    </xf>
    <xf numFmtId="0" fontId="10" fillId="0" borderId="0" xfId="0" applyFont="1" applyAlignment="1" applyProtection="1">
      <alignment horizontal="center" vertical="center" wrapText="1"/>
      <protection hidden="1"/>
    </xf>
    <xf numFmtId="0" fontId="2" fillId="17" borderId="0" xfId="0" applyFont="1" applyFill="1" applyAlignment="1" applyProtection="1">
      <alignment horizontal="center" vertical="center" wrapText="1"/>
      <protection hidden="1"/>
    </xf>
    <xf numFmtId="0" fontId="0" fillId="13" borderId="2" xfId="0" applyFont="1" applyFill="1" applyBorder="1" applyAlignment="1" applyProtection="1">
      <alignment horizontal="center" vertical="center" wrapText="1"/>
      <protection hidden="1"/>
    </xf>
    <xf numFmtId="0" fontId="0" fillId="13" borderId="8" xfId="0" applyFont="1" applyFill="1" applyBorder="1" applyAlignment="1" applyProtection="1">
      <alignment horizontal="center" vertical="center" wrapText="1"/>
      <protection hidden="1"/>
    </xf>
    <xf numFmtId="0" fontId="0" fillId="13" borderId="3" xfId="0" applyFont="1" applyFill="1" applyBorder="1" applyAlignment="1" applyProtection="1">
      <alignment horizontal="center" vertical="center" wrapText="1"/>
      <protection hidden="1"/>
    </xf>
    <xf numFmtId="0" fontId="5" fillId="0" borderId="0" xfId="0" applyFont="1" applyAlignment="1">
      <alignment horizontal="justify" vertical="center" wrapText="1"/>
    </xf>
    <xf numFmtId="0" fontId="5" fillId="6" borderId="1" xfId="0" applyFont="1" applyFill="1" applyBorder="1" applyAlignment="1" applyProtection="1">
      <alignment horizontal="center" vertical="center" wrapText="1"/>
      <protection hidden="1"/>
    </xf>
    <xf numFmtId="0" fontId="5" fillId="6" borderId="7" xfId="0" applyFont="1" applyFill="1" applyBorder="1" applyAlignment="1" applyProtection="1">
      <alignment horizontal="center" vertical="center" wrapText="1"/>
      <protection hidden="1"/>
    </xf>
    <xf numFmtId="0" fontId="5" fillId="7" borderId="1" xfId="0" applyFont="1" applyFill="1" applyBorder="1" applyAlignment="1" applyProtection="1">
      <alignment horizontal="center" vertical="center" wrapText="1"/>
      <protection hidden="1"/>
    </xf>
    <xf numFmtId="0" fontId="5" fillId="7" borderId="7" xfId="0" applyFont="1" applyFill="1" applyBorder="1" applyAlignment="1" applyProtection="1">
      <alignment horizontal="center" vertical="center" wrapText="1"/>
      <protection hidden="1"/>
    </xf>
    <xf numFmtId="0" fontId="5" fillId="2" borderId="1" xfId="0" applyFont="1" applyFill="1" applyBorder="1" applyAlignment="1" applyProtection="1">
      <alignment horizontal="center" vertical="center" wrapText="1"/>
      <protection hidden="1"/>
    </xf>
    <xf numFmtId="0" fontId="5" fillId="2" borderId="2" xfId="0" applyFont="1" applyFill="1" applyBorder="1" applyAlignment="1" applyProtection="1">
      <alignment horizontal="center" vertical="center" wrapText="1"/>
      <protection hidden="1"/>
    </xf>
    <xf numFmtId="0" fontId="5" fillId="8" borderId="9" xfId="0" applyFont="1" applyFill="1" applyBorder="1" applyAlignment="1" applyProtection="1">
      <alignment horizontal="center" vertical="center" wrapText="1"/>
      <protection hidden="1"/>
    </xf>
    <xf numFmtId="0" fontId="5" fillId="8" borderId="10" xfId="0" applyFont="1" applyFill="1" applyBorder="1" applyAlignment="1" applyProtection="1">
      <alignment horizontal="center" vertical="center" wrapText="1"/>
      <protection hidden="1"/>
    </xf>
    <xf numFmtId="0" fontId="5" fillId="9" borderId="3" xfId="0" applyFont="1" applyFill="1" applyBorder="1" applyAlignment="1" applyProtection="1">
      <alignment horizontal="center" vertical="center" wrapText="1"/>
      <protection hidden="1"/>
    </xf>
    <xf numFmtId="0" fontId="5" fillId="9" borderId="1" xfId="0" applyFont="1" applyFill="1" applyBorder="1" applyAlignment="1" applyProtection="1">
      <alignment horizontal="center" vertical="center" wrapText="1"/>
      <protection hidden="1"/>
    </xf>
    <xf numFmtId="0" fontId="5" fillId="10" borderId="1" xfId="0" applyFont="1" applyFill="1" applyBorder="1" applyAlignment="1" applyProtection="1">
      <alignment horizontal="center" vertical="center" wrapText="1"/>
      <protection hidden="1"/>
    </xf>
    <xf numFmtId="0" fontId="5" fillId="10" borderId="2" xfId="0" applyFont="1" applyFill="1" applyBorder="1" applyAlignment="1" applyProtection="1">
      <alignment horizontal="center" vertical="center" wrapText="1"/>
      <protection hidden="1"/>
    </xf>
    <xf numFmtId="0" fontId="5" fillId="11" borderId="9" xfId="0" applyFont="1" applyFill="1" applyBorder="1" applyAlignment="1" applyProtection="1">
      <alignment horizontal="center" vertical="center" wrapText="1"/>
      <protection hidden="1"/>
    </xf>
    <xf numFmtId="0" fontId="5" fillId="11" borderId="10" xfId="0" applyFont="1" applyFill="1" applyBorder="1" applyAlignment="1" applyProtection="1">
      <alignment horizontal="center" vertical="center" wrapText="1"/>
      <protection hidden="1"/>
    </xf>
    <xf numFmtId="0" fontId="5" fillId="12" borderId="3" xfId="0" applyFont="1" applyFill="1" applyBorder="1" applyAlignment="1" applyProtection="1">
      <alignment horizontal="center" vertical="center" wrapText="1"/>
      <protection hidden="1"/>
    </xf>
    <xf numFmtId="0" fontId="5" fillId="12" borderId="1" xfId="0" applyFont="1" applyFill="1" applyBorder="1" applyAlignment="1" applyProtection="1">
      <alignment horizontal="center" vertical="center" wrapText="1"/>
      <protection hidden="1"/>
    </xf>
    <xf numFmtId="0" fontId="0" fillId="6" borderId="1" xfId="0" applyFill="1" applyBorder="1" applyAlignment="1" applyProtection="1">
      <alignment horizontal="center" vertical="center" wrapText="1"/>
      <protection hidden="1"/>
    </xf>
    <xf numFmtId="0" fontId="0" fillId="6" borderId="15" xfId="0" applyFill="1" applyBorder="1" applyAlignment="1" applyProtection="1">
      <alignment horizontal="center" vertical="center" wrapText="1"/>
      <protection hidden="1"/>
    </xf>
    <xf numFmtId="0" fontId="0" fillId="6" borderId="16" xfId="0" applyFill="1" applyBorder="1" applyAlignment="1" applyProtection="1">
      <alignment horizontal="center" vertical="center" wrapText="1"/>
      <protection hidden="1"/>
    </xf>
    <xf numFmtId="0" fontId="0" fillId="0" borderId="16" xfId="0" applyBorder="1" applyAlignment="1">
      <alignment horizontal="center" vertical="center" wrapText="1"/>
    </xf>
    <xf numFmtId="0" fontId="5" fillId="0" borderId="17" xfId="0" applyFont="1" applyBorder="1" applyAlignment="1">
      <alignment horizontal="justify" vertical="center" wrapText="1"/>
    </xf>
  </cellXfs>
  <cellStyles count="1">
    <cellStyle name="Обычный" xfId="0" builtinId="0"/>
  </cellStyles>
  <dxfs count="640">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FFFF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Drop" dropLines="3" dropStyle="combo" dx="22" fmlaRange="QLs!$B$2:$B$4" noThreeD="1"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3" dropStyle="combo" dx="22" fmlaRange="$X$10:$X$12" noThreeD="1" val="0"/>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601980</xdr:colOff>
          <xdr:row>8</xdr:row>
          <xdr:rowOff>175260</xdr:rowOff>
        </xdr:from>
        <xdr:to>
          <xdr:col>16</xdr:col>
          <xdr:colOff>518160</xdr:colOff>
          <xdr:row>10</xdr:row>
          <xdr:rowOff>76200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83820</xdr:colOff>
          <xdr:row>15</xdr:row>
          <xdr:rowOff>38100</xdr:rowOff>
        </xdr:from>
        <xdr:to>
          <xdr:col>6</xdr:col>
          <xdr:colOff>601980</xdr:colOff>
          <xdr:row>18</xdr:row>
          <xdr:rowOff>76200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Intensity of Services' Using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601980</xdr:colOff>
          <xdr:row>15</xdr:row>
          <xdr:rowOff>76200</xdr:rowOff>
        </xdr:from>
        <xdr:to>
          <xdr:col>17</xdr:col>
          <xdr:colOff>502920</xdr:colOff>
          <xdr:row>18</xdr:row>
          <xdr:rowOff>114300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List of Services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601980</xdr:colOff>
          <xdr:row>20</xdr:row>
          <xdr:rowOff>0</xdr:rowOff>
        </xdr:from>
        <xdr:to>
          <xdr:col>12</xdr:col>
          <xdr:colOff>563880</xdr:colOff>
          <xdr:row>23</xdr:row>
          <xdr:rowOff>182880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25</xdr:row>
          <xdr:rowOff>175260</xdr:rowOff>
        </xdr:from>
        <xdr:to>
          <xdr:col>4</xdr:col>
          <xdr:colOff>571500</xdr:colOff>
          <xdr:row>27</xdr:row>
          <xdr:rowOff>182880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312420</xdr:colOff>
          <xdr:row>25</xdr:row>
          <xdr:rowOff>175260</xdr:rowOff>
        </xdr:from>
        <xdr:to>
          <xdr:col>9</xdr:col>
          <xdr:colOff>121920</xdr:colOff>
          <xdr:row>27</xdr:row>
          <xdr:rowOff>182880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Quality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25</xdr:row>
          <xdr:rowOff>175260</xdr:rowOff>
        </xdr:from>
        <xdr:to>
          <xdr:col>13</xdr:col>
          <xdr:colOff>457200</xdr:colOff>
          <xdr:row>27</xdr:row>
          <xdr:rowOff>182880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Intensity Levels</a:t>
              </a:r>
            </a:p>
          </xdr:txBody>
        </xdr:sp>
        <xdr:clientData fPrintsWithSheet="0"/>
      </xdr:twoCellAnchor>
    </mc:Choice>
    <mc:Fallback/>
  </mc:AlternateContent>
  <xdr:twoCellAnchor editAs="oneCell">
    <xdr:from>
      <xdr:col>0</xdr:col>
      <xdr:colOff>352425</xdr:colOff>
      <xdr:row>0</xdr:row>
      <xdr:rowOff>85725</xdr:rowOff>
    </xdr:from>
    <xdr:to>
      <xdr:col>2</xdr:col>
      <xdr:colOff>190500</xdr:colOff>
      <xdr:row>6</xdr:row>
      <xdr:rowOff>45272</xdr:rowOff>
    </xdr:to>
    <xdr:pic>
      <xdr:nvPicPr>
        <xdr:cNvPr id="10" name="Рисунок 9" descr="International Telecommunication Union Speech - ITU PP-18 ...">
          <a:extLst>
            <a:ext uri="{FF2B5EF4-FFF2-40B4-BE49-F238E27FC236}">
              <a16:creationId xmlns=""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85725"/>
          <a:ext cx="1057275" cy="11692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601980</xdr:colOff>
          <xdr:row>6</xdr:row>
          <xdr:rowOff>144780</xdr:rowOff>
        </xdr:from>
        <xdr:to>
          <xdr:col>16</xdr:col>
          <xdr:colOff>381000</xdr:colOff>
          <xdr:row>8</xdr:row>
          <xdr:rowOff>53340</xdr:rowOff>
        </xdr:to>
        <xdr:sp macro="" textlink="">
          <xdr:nvSpPr>
            <xdr:cNvPr id="1034" name="ProfileName"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xdr:row>
          <xdr:rowOff>7620</xdr:rowOff>
        </xdr:from>
        <xdr:to>
          <xdr:col>16</xdr:col>
          <xdr:colOff>518160</xdr:colOff>
          <xdr:row>12</xdr:row>
          <xdr:rowOff>106680</xdr:rowOff>
        </xdr:to>
        <xdr:sp macro="" textlink="">
          <xdr:nvSpPr>
            <xdr:cNvPr id="1035" name="Drop Down 1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297180</xdr:colOff>
          <xdr:row>8</xdr:row>
          <xdr:rowOff>114300</xdr:rowOff>
        </xdr:from>
        <xdr:to>
          <xdr:col>18</xdr:col>
          <xdr:colOff>7620</xdr:colOff>
          <xdr:row>19</xdr:row>
          <xdr:rowOff>83820</xdr:rowOff>
        </xdr:to>
        <xdr:sp macro="" textlink="">
          <xdr:nvSpPr>
            <xdr:cNvPr id="1036" name="Group Box 12" hidden="1">
              <a:extLst>
                <a:ext uri="{63B3BB69-23CF-44E3-9099-C40C66FF867C}">
                  <a14:compatExt spid="_x0000_s1036"/>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Settings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297180</xdr:colOff>
          <xdr:row>24</xdr:row>
          <xdr:rowOff>152400</xdr:rowOff>
        </xdr:from>
        <xdr:to>
          <xdr:col>18</xdr:col>
          <xdr:colOff>7620</xdr:colOff>
          <xdr:row>28</xdr:row>
          <xdr:rowOff>121920</xdr:rowOff>
        </xdr:to>
        <xdr:sp macro="" textlink="">
          <xdr:nvSpPr>
            <xdr:cNvPr id="1037" name="Group Box 13" hidden="1">
              <a:extLst>
                <a:ext uri="{63B3BB69-23CF-44E3-9099-C40C66FF867C}">
                  <a14:compatExt spid="_x0000_s1037"/>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Additional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563880</xdr:colOff>
          <xdr:row>25</xdr:row>
          <xdr:rowOff>160020</xdr:rowOff>
        </xdr:from>
        <xdr:to>
          <xdr:col>17</xdr:col>
          <xdr:colOff>373380</xdr:colOff>
          <xdr:row>27</xdr:row>
          <xdr:rowOff>175260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Profile Types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266700</xdr:colOff>
      <xdr:row>0</xdr:row>
      <xdr:rowOff>104775</xdr:rowOff>
    </xdr:from>
    <xdr:to>
      <xdr:col>1</xdr:col>
      <xdr:colOff>457200</xdr:colOff>
      <xdr:row>2</xdr:row>
      <xdr:rowOff>193414</xdr:rowOff>
    </xdr:to>
    <xdr:pic>
      <xdr:nvPicPr>
        <xdr:cNvPr id="2" name="Рисунок 1" descr="International Telecommunication Union Speech - ITU PP-18 ...">
          <a:extLst>
            <a:ext uri="{FF2B5EF4-FFF2-40B4-BE49-F238E27FC236}">
              <a16:creationId xmlns=""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104775"/>
          <a:ext cx="657225" cy="7268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906780</xdr:colOff>
          <xdr:row>0</xdr:row>
          <xdr:rowOff>76200</xdr:rowOff>
        </xdr:from>
        <xdr:to>
          <xdr:col>10</xdr:col>
          <xdr:colOff>990600</xdr:colOff>
          <xdr:row>1</xdr:row>
          <xdr:rowOff>381000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3</xdr:row>
          <xdr:rowOff>30480</xdr:rowOff>
        </xdr:from>
        <xdr:to>
          <xdr:col>2</xdr:col>
          <xdr:colOff>571500</xdr:colOff>
          <xdr:row>6</xdr:row>
          <xdr:rowOff>60960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Calculate Bandwidth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266700</xdr:colOff>
      <xdr:row>0</xdr:row>
      <xdr:rowOff>104775</xdr:rowOff>
    </xdr:from>
    <xdr:to>
      <xdr:col>1</xdr:col>
      <xdr:colOff>457200</xdr:colOff>
      <xdr:row>2</xdr:row>
      <xdr:rowOff>193414</xdr:rowOff>
    </xdr:to>
    <xdr:pic>
      <xdr:nvPicPr>
        <xdr:cNvPr id="2" name="Рисунок 1" descr="International Telecommunication Union Speech - ITU PP-18 ...">
          <a:extLst>
            <a:ext uri="{FF2B5EF4-FFF2-40B4-BE49-F238E27FC236}">
              <a16:creationId xmlns=""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104775"/>
          <a:ext cx="657225" cy="7268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906780</xdr:colOff>
          <xdr:row>0</xdr:row>
          <xdr:rowOff>76200</xdr:rowOff>
        </xdr:from>
        <xdr:to>
          <xdr:col>10</xdr:col>
          <xdr:colOff>990600</xdr:colOff>
          <xdr:row>1</xdr:row>
          <xdr:rowOff>381000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198120</xdr:colOff>
          <xdr:row>3</xdr:row>
          <xdr:rowOff>106680</xdr:rowOff>
        </xdr:from>
        <xdr:to>
          <xdr:col>2</xdr:col>
          <xdr:colOff>541020</xdr:colOff>
          <xdr:row>6</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Calculate Bandwidth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0</xdr:row>
          <xdr:rowOff>83820</xdr:rowOff>
        </xdr:from>
        <xdr:to>
          <xdr:col>1</xdr:col>
          <xdr:colOff>1668780</xdr:colOff>
          <xdr:row>1</xdr:row>
          <xdr:rowOff>137160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152400</xdr:colOff>
          <xdr:row>0</xdr:row>
          <xdr:rowOff>76200</xdr:rowOff>
        </xdr:from>
        <xdr:to>
          <xdr:col>1</xdr:col>
          <xdr:colOff>2133600</xdr:colOff>
          <xdr:row>0</xdr:row>
          <xdr:rowOff>312420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4</xdr:row>
          <xdr:rowOff>114300</xdr:rowOff>
        </xdr:from>
        <xdr:to>
          <xdr:col>1</xdr:col>
          <xdr:colOff>1417320</xdr:colOff>
          <xdr:row>5</xdr:row>
          <xdr:rowOff>160020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4</xdr:row>
          <xdr:rowOff>114300</xdr:rowOff>
        </xdr:from>
        <xdr:to>
          <xdr:col>1</xdr:col>
          <xdr:colOff>1417320</xdr:colOff>
          <xdr:row>5</xdr:row>
          <xdr:rowOff>160020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4</xdr:row>
          <xdr:rowOff>114300</xdr:rowOff>
        </xdr:from>
        <xdr:to>
          <xdr:col>1</xdr:col>
          <xdr:colOff>1417320</xdr:colOff>
          <xdr:row>5</xdr:row>
          <xdr:rowOff>160020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68580</xdr:colOff>
          <xdr:row>0</xdr:row>
          <xdr:rowOff>121920</xdr:rowOff>
        </xdr:from>
        <xdr:to>
          <xdr:col>1</xdr:col>
          <xdr:colOff>1859280</xdr:colOff>
          <xdr:row>1</xdr:row>
          <xdr:rowOff>175260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Return to Main screen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C2:X12"/>
  <sheetViews>
    <sheetView tabSelected="1" workbookViewId="0">
      <selection activeCell="I16" sqref="I16"/>
    </sheetView>
  </sheetViews>
  <sheetFormatPr defaultColWidth="9.109375" defaultRowHeight="14.4" x14ac:dyDescent="0.3"/>
  <cols>
    <col min="1" max="16384" width="9.109375" style="6"/>
  </cols>
  <sheetData>
    <row r="2" spans="3:24" x14ac:dyDescent="0.3">
      <c r="C2" s="74" t="s">
        <v>2</v>
      </c>
      <c r="D2" s="74"/>
      <c r="E2" s="74"/>
      <c r="F2" s="74"/>
      <c r="G2" s="74"/>
      <c r="H2" s="74"/>
      <c r="I2" s="74"/>
      <c r="J2" s="74"/>
      <c r="K2" s="74"/>
      <c r="L2" s="74"/>
      <c r="M2" s="74"/>
      <c r="N2" s="74"/>
      <c r="O2" s="74"/>
      <c r="P2" s="74"/>
      <c r="Q2" s="74"/>
    </row>
    <row r="3" spans="3:24" x14ac:dyDescent="0.3">
      <c r="C3" s="74"/>
      <c r="D3" s="74"/>
      <c r="E3" s="74"/>
      <c r="F3" s="74"/>
      <c r="G3" s="74"/>
      <c r="H3" s="74"/>
      <c r="I3" s="74"/>
      <c r="J3" s="74"/>
      <c r="K3" s="74"/>
      <c r="L3" s="74"/>
      <c r="M3" s="74"/>
      <c r="N3" s="74"/>
      <c r="O3" s="74"/>
      <c r="P3" s="74"/>
      <c r="Q3" s="74"/>
    </row>
    <row r="4" spans="3:24" x14ac:dyDescent="0.3">
      <c r="C4" s="74"/>
      <c r="D4" s="74"/>
      <c r="E4" s="74"/>
      <c r="F4" s="74"/>
      <c r="G4" s="74"/>
      <c r="H4" s="74"/>
      <c r="I4" s="74"/>
      <c r="J4" s="74"/>
      <c r="K4" s="74"/>
      <c r="L4" s="74"/>
      <c r="M4" s="74"/>
      <c r="N4" s="74"/>
      <c r="O4" s="74"/>
      <c r="P4" s="74"/>
      <c r="Q4" s="74"/>
    </row>
    <row r="5" spans="3:24" x14ac:dyDescent="0.3">
      <c r="C5" s="74"/>
      <c r="D5" s="74"/>
      <c r="E5" s="74"/>
      <c r="F5" s="74"/>
      <c r="G5" s="74"/>
      <c r="H5" s="74"/>
      <c r="I5" s="74"/>
      <c r="J5" s="74"/>
      <c r="K5" s="74"/>
      <c r="L5" s="74"/>
      <c r="M5" s="74"/>
      <c r="N5" s="74"/>
      <c r="O5" s="74"/>
      <c r="P5" s="74"/>
      <c r="Q5" s="74"/>
    </row>
    <row r="6" spans="3:24" ht="21" x14ac:dyDescent="0.3">
      <c r="C6" s="75" t="s">
        <v>0</v>
      </c>
      <c r="D6" s="75"/>
      <c r="E6" s="75"/>
      <c r="F6" s="75"/>
      <c r="G6" s="75"/>
      <c r="H6" s="75"/>
      <c r="I6" s="75"/>
      <c r="J6" s="75"/>
      <c r="K6" s="75"/>
      <c r="L6" s="75"/>
      <c r="M6" s="75"/>
      <c r="N6" s="75"/>
      <c r="O6" s="75"/>
      <c r="P6" s="75"/>
      <c r="Q6" s="75"/>
    </row>
    <row r="8" spans="3:24" ht="21" x14ac:dyDescent="0.3">
      <c r="C8" s="76" t="s">
        <v>44</v>
      </c>
      <c r="D8" s="76"/>
      <c r="E8" s="76"/>
      <c r="F8" s="76"/>
      <c r="G8" s="76"/>
      <c r="H8" s="76"/>
    </row>
    <row r="10" spans="3:24" ht="21" x14ac:dyDescent="0.3">
      <c r="C10" s="76" t="s">
        <v>1</v>
      </c>
      <c r="D10" s="76"/>
      <c r="E10" s="76"/>
      <c r="F10" s="76"/>
      <c r="G10" s="76"/>
      <c r="H10" s="76"/>
      <c r="X10" s="7" t="s">
        <v>46</v>
      </c>
    </row>
    <row r="11" spans="3:24" x14ac:dyDescent="0.3">
      <c r="X11" s="7" t="s">
        <v>53</v>
      </c>
    </row>
    <row r="12" spans="3:24" ht="21" x14ac:dyDescent="0.3">
      <c r="C12" s="76" t="s">
        <v>45</v>
      </c>
      <c r="D12" s="76"/>
      <c r="E12" s="76"/>
      <c r="F12" s="76"/>
      <c r="G12" s="76"/>
      <c r="H12" s="76"/>
      <c r="X12" s="7" t="s">
        <v>52</v>
      </c>
    </row>
  </sheetData>
  <sheetProtection algorithmName="SHA-512" hashValue="bwqOyt0UDutbYXcF9DjoOQBayiAWd4nLHQO1sDwRwQD4Tm5HV8Daxw10zcq0F1r2CxSZ9jGv5/zCiHpI79MsFA==" saltValue="WrgLnboCkXDVLS6FxhPnlQ==" spinCount="100000" sheet="1" formatCells="0" formatColumns="0" formatRows="0" insertColumns="0" insertRows="0" insertHyperlinks="0" deleteColumns="0" deleteRows="0" sort="0" autoFilter="0" pivotTables="0"/>
  <mergeCells count="5">
    <mergeCell ref="C2:Q5"/>
    <mergeCell ref="C6:Q6"/>
    <mergeCell ref="C8:H8"/>
    <mergeCell ref="C10:H10"/>
    <mergeCell ref="C12:H1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34" r:id="rId4" name="ProfileName">
          <controlPr defaultSize="0" autoLine="0" r:id="rId5">
            <anchor moveWithCells="1">
              <from>
                <xdr:col>7</xdr:col>
                <xdr:colOff>601980</xdr:colOff>
                <xdr:row>6</xdr:row>
                <xdr:rowOff>144780</xdr:rowOff>
              </from>
              <to>
                <xdr:col>16</xdr:col>
                <xdr:colOff>381000</xdr:colOff>
                <xdr:row>8</xdr:row>
                <xdr:rowOff>53340</xdr:rowOff>
              </to>
            </anchor>
          </controlPr>
        </control>
      </mc:Choice>
      <mc:Fallback>
        <control shapeId="1034" r:id="rId4" name="ProfileName"/>
      </mc:Fallback>
    </mc:AlternateContent>
    <mc:AlternateContent xmlns:mc="http://schemas.openxmlformats.org/markup-compatibility/2006">
      <mc:Choice Requires="x14">
        <control shapeId="1027" r:id="rId6" name="Drop Down 3">
          <controlPr defaultSize="0" autoLine="0" autoPict="0" altText="There is should be List of Quality Levels, but something is wrong. Probably you should allow macroses ">
            <anchor moveWithCells="1">
              <from>
                <xdr:col>7</xdr:col>
                <xdr:colOff>601980</xdr:colOff>
                <xdr:row>8</xdr:row>
                <xdr:rowOff>175260</xdr:rowOff>
              </from>
              <to>
                <xdr:col>16</xdr:col>
                <xdr:colOff>518160</xdr:colOff>
                <xdr:row>10</xdr:row>
                <xdr:rowOff>76200</xdr:rowOff>
              </to>
            </anchor>
          </controlPr>
        </control>
      </mc:Choice>
    </mc:AlternateContent>
    <mc:AlternateContent xmlns:mc="http://schemas.openxmlformats.org/markup-compatibility/2006">
      <mc:Choice Requires="x14">
        <control shapeId="1028" r:id="rId7" name="Button 4">
          <controlPr defaultSize="0" print="0" autoFill="0" autoPict="0" macro="[0]!Users">
            <anchor moveWithCells="1" sizeWithCells="1">
              <from>
                <xdr:col>2</xdr:col>
                <xdr:colOff>83820</xdr:colOff>
                <xdr:row>15</xdr:row>
                <xdr:rowOff>38100</xdr:rowOff>
              </from>
              <to>
                <xdr:col>6</xdr:col>
                <xdr:colOff>601980</xdr:colOff>
                <xdr:row>18</xdr:row>
                <xdr:rowOff>76200</xdr:rowOff>
              </to>
            </anchor>
          </controlPr>
        </control>
      </mc:Choice>
    </mc:AlternateContent>
    <mc:AlternateContent xmlns:mc="http://schemas.openxmlformats.org/markup-compatibility/2006">
      <mc:Choice Requires="x14">
        <control shapeId="1029" r:id="rId8" name="Button 5">
          <controlPr defaultSize="0" print="0" autoFill="0" autoPict="0" macro="[0]!Services">
            <anchor moveWithCells="1" sizeWithCells="1">
              <from>
                <xdr:col>12</xdr:col>
                <xdr:colOff>601980</xdr:colOff>
                <xdr:row>15</xdr:row>
                <xdr:rowOff>76200</xdr:rowOff>
              </from>
              <to>
                <xdr:col>17</xdr:col>
                <xdr:colOff>502920</xdr:colOff>
                <xdr:row>18</xdr:row>
                <xdr:rowOff>114300</xdr:rowOff>
              </to>
            </anchor>
          </controlPr>
        </control>
      </mc:Choice>
    </mc:AlternateContent>
    <mc:AlternateContent xmlns:mc="http://schemas.openxmlformats.org/markup-compatibility/2006">
      <mc:Choice Requires="x14">
        <control shapeId="1030" r:id="rId9" name="Button 6">
          <controlPr defaultSize="0" print="0" autoFill="0" autoPict="0" macro="[0]!Generate">
            <anchor moveWithCells="1" sizeWithCells="1">
              <from>
                <xdr:col>6</xdr:col>
                <xdr:colOff>601980</xdr:colOff>
                <xdr:row>20</xdr:row>
                <xdr:rowOff>0</xdr:rowOff>
              </from>
              <to>
                <xdr:col>12</xdr:col>
                <xdr:colOff>563880</xdr:colOff>
                <xdr:row>23</xdr:row>
                <xdr:rowOff>182880</xdr:rowOff>
              </to>
            </anchor>
          </controlPr>
        </control>
      </mc:Choice>
    </mc:AlternateContent>
    <mc:AlternateContent xmlns:mc="http://schemas.openxmlformats.org/markup-compatibility/2006">
      <mc:Choice Requires="x14">
        <control shapeId="1031" r:id="rId10" name="Button 7">
          <controlPr defaultSize="0" print="0" autoFill="0" autoPict="0" macro="[0]!Scenarios">
            <anchor moveWithCells="1" sizeWithCells="1">
              <from>
                <xdr:col>2</xdr:col>
                <xdr:colOff>152400</xdr:colOff>
                <xdr:row>25</xdr:row>
                <xdr:rowOff>175260</xdr:rowOff>
              </from>
              <to>
                <xdr:col>4</xdr:col>
                <xdr:colOff>571500</xdr:colOff>
                <xdr:row>27</xdr:row>
                <xdr:rowOff>182880</xdr:rowOff>
              </to>
            </anchor>
          </controlPr>
        </control>
      </mc:Choice>
    </mc:AlternateContent>
    <mc:AlternateContent xmlns:mc="http://schemas.openxmlformats.org/markup-compatibility/2006">
      <mc:Choice Requires="x14">
        <control shapeId="1032" r:id="rId11" name="Button 8">
          <controlPr defaultSize="0" print="0" autoFill="0" autoPict="0" macro="[0]!QLs">
            <anchor moveWithCells="1" sizeWithCells="1">
              <from>
                <xdr:col>6</xdr:col>
                <xdr:colOff>312420</xdr:colOff>
                <xdr:row>25</xdr:row>
                <xdr:rowOff>175260</xdr:rowOff>
              </from>
              <to>
                <xdr:col>9</xdr:col>
                <xdr:colOff>121920</xdr:colOff>
                <xdr:row>27</xdr:row>
                <xdr:rowOff>182880</xdr:rowOff>
              </to>
            </anchor>
          </controlPr>
        </control>
      </mc:Choice>
    </mc:AlternateContent>
    <mc:AlternateContent xmlns:mc="http://schemas.openxmlformats.org/markup-compatibility/2006">
      <mc:Choice Requires="x14">
        <control shapeId="1033" r:id="rId12" name="Button 9">
          <controlPr defaultSize="0" print="0" autoFill="0" autoPict="0" macro="[0]!ILs">
            <anchor moveWithCells="1" sizeWithCells="1">
              <from>
                <xdr:col>11</xdr:col>
                <xdr:colOff>38100</xdr:colOff>
                <xdr:row>25</xdr:row>
                <xdr:rowOff>175260</xdr:rowOff>
              </from>
              <to>
                <xdr:col>13</xdr:col>
                <xdr:colOff>457200</xdr:colOff>
                <xdr:row>27</xdr:row>
                <xdr:rowOff>182880</xdr:rowOff>
              </to>
            </anchor>
          </controlPr>
        </control>
      </mc:Choice>
    </mc:AlternateContent>
    <mc:AlternateContent xmlns:mc="http://schemas.openxmlformats.org/markup-compatibility/2006">
      <mc:Choice Requires="x14">
        <control shapeId="1035" r:id="rId13" name="Drop Down 11">
          <controlPr defaultSize="0" autoLine="0" autoPict="0" altText="Test">
            <anchor moveWithCells="1">
              <from>
                <xdr:col>7</xdr:col>
                <xdr:colOff>601980</xdr:colOff>
                <xdr:row>11</xdr:row>
                <xdr:rowOff>7620</xdr:rowOff>
              </from>
              <to>
                <xdr:col>16</xdr:col>
                <xdr:colOff>518160</xdr:colOff>
                <xdr:row>12</xdr:row>
                <xdr:rowOff>106680</xdr:rowOff>
              </to>
            </anchor>
          </controlPr>
        </control>
      </mc:Choice>
    </mc:AlternateContent>
    <mc:AlternateContent xmlns:mc="http://schemas.openxmlformats.org/markup-compatibility/2006">
      <mc:Choice Requires="x14">
        <control shapeId="1036" r:id="rId14" name="Group Box 12">
          <controlPr defaultSize="0" autoFill="0" autoPict="0">
            <anchor moveWithCells="1">
              <from>
                <xdr:col>1</xdr:col>
                <xdr:colOff>297180</xdr:colOff>
                <xdr:row>8</xdr:row>
                <xdr:rowOff>114300</xdr:rowOff>
              </from>
              <to>
                <xdr:col>18</xdr:col>
                <xdr:colOff>7620</xdr:colOff>
                <xdr:row>19</xdr:row>
                <xdr:rowOff>83820</xdr:rowOff>
              </to>
            </anchor>
          </controlPr>
        </control>
      </mc:Choice>
    </mc:AlternateContent>
    <mc:AlternateContent xmlns:mc="http://schemas.openxmlformats.org/markup-compatibility/2006">
      <mc:Choice Requires="x14">
        <control shapeId="1037" r:id="rId15" name="Group Box 13">
          <controlPr defaultSize="0" autoFill="0" autoPict="0">
            <anchor moveWithCells="1">
              <from>
                <xdr:col>1</xdr:col>
                <xdr:colOff>297180</xdr:colOff>
                <xdr:row>24</xdr:row>
                <xdr:rowOff>152400</xdr:rowOff>
              </from>
              <to>
                <xdr:col>18</xdr:col>
                <xdr:colOff>7620</xdr:colOff>
                <xdr:row>28</xdr:row>
                <xdr:rowOff>121920</xdr:rowOff>
              </to>
            </anchor>
          </controlPr>
        </control>
      </mc:Choice>
    </mc:AlternateContent>
    <mc:AlternateContent xmlns:mc="http://schemas.openxmlformats.org/markup-compatibility/2006">
      <mc:Choice Requires="x14">
        <control shapeId="1038" r:id="rId16" name="Button 14">
          <controlPr defaultSize="0" print="0" autoFill="0" autoPict="0" macro="[0]!PTs">
            <anchor moveWithCells="1" sizeWithCells="1">
              <from>
                <xdr:col>14</xdr:col>
                <xdr:colOff>563880</xdr:colOff>
                <xdr:row>25</xdr:row>
                <xdr:rowOff>160020</xdr:rowOff>
              </from>
              <to>
                <xdr:col>17</xdr:col>
                <xdr:colOff>373380</xdr:colOff>
                <xdr:row>27</xdr:row>
                <xdr:rowOff>175260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2:R338"/>
  <sheetViews>
    <sheetView zoomScaleNormal="100" workbookViewId="0">
      <selection activeCell="H170" sqref="H170:K180"/>
    </sheetView>
  </sheetViews>
  <sheetFormatPr defaultColWidth="9.109375" defaultRowHeight="14.4" x14ac:dyDescent="0.3"/>
  <cols>
    <col min="1" max="2" width="7" style="38" customWidth="1"/>
    <col min="3" max="6" width="9.109375" style="38"/>
    <col min="7" max="7" width="12.6640625" style="38" customWidth="1"/>
    <col min="8" max="11" width="14.6640625" style="38" customWidth="1"/>
    <col min="12" max="16384" width="9.109375" style="38"/>
  </cols>
  <sheetData>
    <row r="2" spans="1:18" ht="36" x14ac:dyDescent="0.3">
      <c r="A2" s="87" t="s">
        <v>2</v>
      </c>
      <c r="B2" s="88"/>
      <c r="C2" s="88"/>
      <c r="D2" s="88"/>
      <c r="E2" s="88"/>
      <c r="F2" s="88"/>
      <c r="G2" s="88"/>
      <c r="H2" s="88"/>
      <c r="I2" s="88"/>
      <c r="J2" s="88"/>
      <c r="K2" s="88"/>
      <c r="L2" s="37"/>
      <c r="M2" s="37"/>
      <c r="N2" s="37"/>
      <c r="O2" s="37"/>
      <c r="P2" s="37"/>
      <c r="Q2" s="37"/>
    </row>
    <row r="3" spans="1:18" ht="36" x14ac:dyDescent="0.3">
      <c r="C3" s="89"/>
      <c r="D3" s="82"/>
      <c r="E3" s="82"/>
      <c r="F3" s="82"/>
      <c r="G3" s="82"/>
      <c r="H3" s="82"/>
      <c r="I3" s="82"/>
      <c r="J3" s="82"/>
      <c r="K3" s="37"/>
      <c r="L3" s="37"/>
      <c r="M3" s="37"/>
      <c r="N3" s="37"/>
      <c r="O3" s="37"/>
      <c r="P3" s="37"/>
      <c r="Q3" s="37"/>
    </row>
    <row r="4" spans="1:18" ht="36" x14ac:dyDescent="0.3">
      <c r="B4" s="86" t="s">
        <v>44</v>
      </c>
      <c r="C4" s="86"/>
      <c r="D4" s="86"/>
      <c r="E4" s="86"/>
      <c r="F4" s="86"/>
      <c r="G4" s="86"/>
      <c r="H4" s="86" t="s">
        <v>76</v>
      </c>
      <c r="I4" s="86"/>
      <c r="J4" s="86"/>
      <c r="K4" s="86"/>
      <c r="L4" s="86"/>
      <c r="M4" s="86"/>
      <c r="N4" s="37"/>
      <c r="O4" s="37"/>
      <c r="P4" s="37"/>
      <c r="Q4" s="37"/>
    </row>
    <row r="5" spans="1:18" ht="7.5" customHeight="1" x14ac:dyDescent="0.3">
      <c r="H5" s="37"/>
      <c r="I5" s="37"/>
      <c r="J5" s="37"/>
      <c r="K5" s="37"/>
      <c r="L5" s="37"/>
      <c r="M5" s="37"/>
      <c r="N5" s="37"/>
      <c r="O5" s="37"/>
      <c r="P5" s="37"/>
      <c r="Q5" s="37"/>
    </row>
    <row r="6" spans="1:18" ht="21" x14ac:dyDescent="0.3">
      <c r="B6" s="86" t="s">
        <v>1</v>
      </c>
      <c r="C6" s="86"/>
      <c r="D6" s="86"/>
      <c r="E6" s="86"/>
      <c r="F6" s="86"/>
      <c r="G6" s="86"/>
      <c r="H6" s="86" t="s">
        <v>18</v>
      </c>
      <c r="I6" s="86"/>
      <c r="J6" s="86"/>
      <c r="K6" s="86"/>
      <c r="L6" s="86"/>
      <c r="M6" s="86"/>
      <c r="N6" s="44"/>
      <c r="O6" s="44"/>
      <c r="P6" s="39"/>
      <c r="Q6" s="39"/>
      <c r="R6" s="39"/>
    </row>
    <row r="9" spans="1:18" ht="15" customHeight="1" x14ac:dyDescent="0.3">
      <c r="B9" s="80" t="s">
        <v>85</v>
      </c>
      <c r="C9" s="80"/>
      <c r="D9" s="81" t="str">
        <f>Users!B3</f>
        <v>Primary school’s students' workstations (or laptops) in the classrooms</v>
      </c>
      <c r="E9" s="82"/>
      <c r="F9" s="82"/>
      <c r="G9" s="82"/>
      <c r="H9" s="82"/>
      <c r="I9" s="82"/>
      <c r="J9" s="82"/>
      <c r="K9" s="82"/>
      <c r="L9" s="40"/>
      <c r="M9" s="40"/>
      <c r="N9" s="40"/>
      <c r="O9" s="40"/>
      <c r="P9" s="40"/>
    </row>
    <row r="10" spans="1:18" x14ac:dyDescent="0.3">
      <c r="B10" s="41"/>
      <c r="C10" s="41"/>
    </row>
    <row r="11" spans="1:18" x14ac:dyDescent="0.3">
      <c r="B11" s="83" t="s">
        <v>3</v>
      </c>
      <c r="C11" s="83" t="s">
        <v>28</v>
      </c>
      <c r="D11" s="84"/>
      <c r="E11" s="84"/>
      <c r="F11" s="84"/>
      <c r="G11" s="84"/>
      <c r="H11" s="85" t="s">
        <v>48</v>
      </c>
      <c r="I11" s="85"/>
      <c r="J11" s="85"/>
      <c r="K11" s="85"/>
    </row>
    <row r="12" spans="1:18" x14ac:dyDescent="0.3">
      <c r="B12" s="83"/>
      <c r="C12" s="83"/>
      <c r="D12" s="84"/>
      <c r="E12" s="84"/>
      <c r="F12" s="84"/>
      <c r="G12" s="84"/>
      <c r="H12" s="85"/>
      <c r="I12" s="85"/>
      <c r="J12" s="85"/>
      <c r="K12" s="85"/>
    </row>
    <row r="13" spans="1:18" ht="57.6" x14ac:dyDescent="0.3">
      <c r="B13" s="83"/>
      <c r="C13" s="83"/>
      <c r="D13" s="84"/>
      <c r="E13" s="84"/>
      <c r="F13" s="84"/>
      <c r="G13" s="84"/>
      <c r="H13" s="11" t="s">
        <v>29</v>
      </c>
      <c r="I13" s="11" t="s">
        <v>30</v>
      </c>
      <c r="J13" s="15" t="s">
        <v>54</v>
      </c>
      <c r="K13" s="15" t="s">
        <v>31</v>
      </c>
    </row>
    <row r="14" spans="1:18" ht="24.9" customHeight="1" x14ac:dyDescent="0.3">
      <c r="B14" s="19">
        <v>1</v>
      </c>
      <c r="C14" s="77" t="str">
        <f>Services!B$4</f>
        <v>Streaming video, including interactive online TV, live-stream trainings, individualized live video instructions etc.</v>
      </c>
      <c r="D14" s="78"/>
      <c r="E14" s="78"/>
      <c r="F14" s="78"/>
      <c r="G14" s="79"/>
      <c r="H14" s="42">
        <v>250</v>
      </c>
      <c r="I14" s="43">
        <v>6</v>
      </c>
      <c r="J14" s="51">
        <v>0.63</v>
      </c>
      <c r="K14" s="51">
        <v>412.5</v>
      </c>
    </row>
    <row r="15" spans="1:18" ht="24.9" customHeight="1" x14ac:dyDescent="0.3">
      <c r="B15" s="19">
        <v>2</v>
      </c>
      <c r="C15" s="77" t="str">
        <f>Services!B$5</f>
        <v>Services for group &amp; individual communication, including webinars, conferences, meetings, tutoring, etc.</v>
      </c>
      <c r="D15" s="78"/>
      <c r="E15" s="78"/>
      <c r="F15" s="78"/>
      <c r="G15" s="79"/>
      <c r="H15" s="42">
        <v>100</v>
      </c>
      <c r="I15" s="43">
        <v>2.25</v>
      </c>
      <c r="J15" s="51">
        <v>6.0000000000000001E-3</v>
      </c>
      <c r="K15" s="51">
        <v>202.5</v>
      </c>
    </row>
    <row r="16" spans="1:18" x14ac:dyDescent="0.3">
      <c r="B16" s="19">
        <v>3</v>
      </c>
      <c r="C16" s="77" t="str">
        <f>Services!B$6</f>
        <v>Online virtual simulators, educational online games, etc.</v>
      </c>
      <c r="D16" s="78"/>
      <c r="E16" s="78"/>
      <c r="F16" s="78"/>
      <c r="G16" s="79"/>
      <c r="H16" s="42">
        <v>100</v>
      </c>
      <c r="I16" s="43">
        <v>1.125</v>
      </c>
      <c r="J16" s="51">
        <v>0</v>
      </c>
      <c r="K16" s="51">
        <v>0</v>
      </c>
    </row>
    <row r="17" spans="2:11" x14ac:dyDescent="0.3">
      <c r="B17" s="19">
        <v>4</v>
      </c>
      <c r="C17" s="77" t="str">
        <f>Services!B$7</f>
        <v>Services for group work (virtual boards, online graphics, etc.)</v>
      </c>
      <c r="D17" s="78"/>
      <c r="E17" s="78"/>
      <c r="F17" s="78"/>
      <c r="G17" s="79"/>
      <c r="H17" s="42">
        <v>100</v>
      </c>
      <c r="I17" s="43">
        <v>2.25</v>
      </c>
      <c r="J17" s="51">
        <v>7.4999999999999997E-3</v>
      </c>
      <c r="K17" s="51">
        <v>75</v>
      </c>
    </row>
    <row r="18" spans="2:11" x14ac:dyDescent="0.3">
      <c r="B18" s="19">
        <v>5</v>
      </c>
      <c r="C18" s="77" t="str">
        <f>Services!B$8</f>
        <v>Other Real Time Traffic Services</v>
      </c>
      <c r="D18" s="78"/>
      <c r="E18" s="78"/>
      <c r="F18" s="78"/>
      <c r="G18" s="79"/>
      <c r="H18" s="42">
        <v>250</v>
      </c>
      <c r="I18" s="43">
        <v>1.125</v>
      </c>
      <c r="J18" s="51">
        <v>0</v>
      </c>
      <c r="K18" s="51">
        <v>0</v>
      </c>
    </row>
    <row r="19" spans="2:11" ht="24.9" customHeight="1" x14ac:dyDescent="0.3">
      <c r="B19" s="19">
        <v>6</v>
      </c>
      <c r="C19" s="77" t="str">
        <f>Services!B$9</f>
        <v>Recorded educational clips, video instructions, trainings, Individualized recorded video, multimedia courses etc.</v>
      </c>
      <c r="D19" s="78"/>
      <c r="E19" s="78"/>
      <c r="F19" s="78"/>
      <c r="G19" s="79"/>
      <c r="H19" s="42">
        <v>250</v>
      </c>
      <c r="I19" s="43">
        <v>1.6875</v>
      </c>
      <c r="J19" s="51">
        <v>3.7499999999999999E-3</v>
      </c>
      <c r="K19" s="51">
        <v>375</v>
      </c>
    </row>
    <row r="20" spans="2:11" ht="24.9" customHeight="1" x14ac:dyDescent="0.3">
      <c r="B20" s="19">
        <v>7</v>
      </c>
      <c r="C20" s="77" t="str">
        <f>Services!B$10</f>
        <v>Learning management systems, including libraries, repositories, databases, educational web-services, services for storing information etc.</v>
      </c>
      <c r="D20" s="78"/>
      <c r="E20" s="78"/>
      <c r="F20" s="78"/>
      <c r="G20" s="79"/>
      <c r="H20" s="42">
        <v>375</v>
      </c>
      <c r="I20" s="43">
        <v>1.125</v>
      </c>
      <c r="J20" s="51">
        <v>0</v>
      </c>
      <c r="K20" s="51">
        <v>0</v>
      </c>
    </row>
    <row r="21" spans="2:11" ht="24.9" customHeight="1" x14ac:dyDescent="0.3">
      <c r="B21" s="19">
        <v>8</v>
      </c>
      <c r="C21" s="77" t="str">
        <f>Services!B$11</f>
        <v>Web-serfing, Search engines, bookmarking services, etc. E-mail, FTP and other classic services</v>
      </c>
      <c r="D21" s="78"/>
      <c r="E21" s="78"/>
      <c r="F21" s="78"/>
      <c r="G21" s="79"/>
      <c r="H21" s="42">
        <v>375</v>
      </c>
      <c r="I21" s="43">
        <v>1.125</v>
      </c>
      <c r="J21" s="51">
        <v>0.51</v>
      </c>
      <c r="K21" s="51">
        <v>7.5</v>
      </c>
    </row>
    <row r="22" spans="2:11" x14ac:dyDescent="0.3">
      <c r="B22" s="19">
        <v>9</v>
      </c>
      <c r="C22" s="77" t="str">
        <f>Services!B$12</f>
        <v>Discussion boards, Social media &amp; networks, forums etc.</v>
      </c>
      <c r="D22" s="78"/>
      <c r="E22" s="78"/>
      <c r="F22" s="78"/>
      <c r="G22" s="79"/>
      <c r="H22" s="42">
        <v>375</v>
      </c>
      <c r="I22" s="43">
        <v>1.125</v>
      </c>
      <c r="J22" s="51">
        <v>0</v>
      </c>
      <c r="K22" s="51">
        <v>0</v>
      </c>
    </row>
    <row r="23" spans="2:11" ht="24.9" customHeight="1" x14ac:dyDescent="0.3">
      <c r="B23" s="19">
        <v>10</v>
      </c>
      <c r="C23" s="77" t="str">
        <f>Services!B$13</f>
        <v>Calendars and organizers, including lessons planning. Government e-portal access. Reporting Services etc.</v>
      </c>
      <c r="D23" s="78"/>
      <c r="E23" s="78"/>
      <c r="F23" s="78"/>
      <c r="G23" s="79"/>
      <c r="H23" s="42">
        <v>375</v>
      </c>
      <c r="I23" s="43">
        <v>0.5625</v>
      </c>
      <c r="J23" s="51">
        <v>0</v>
      </c>
      <c r="K23" s="51">
        <v>0</v>
      </c>
    </row>
    <row r="24" spans="2:11" x14ac:dyDescent="0.3">
      <c r="B24" s="19">
        <v>11</v>
      </c>
      <c r="C24" s="77" t="str">
        <f>Services!B$14</f>
        <v>Other Non-Real Time Traffic Services</v>
      </c>
      <c r="D24" s="78"/>
      <c r="E24" s="78"/>
      <c r="F24" s="78"/>
      <c r="G24" s="79"/>
      <c r="H24" s="42">
        <v>375</v>
      </c>
      <c r="I24" s="43">
        <v>0.5625</v>
      </c>
      <c r="J24" s="51">
        <v>0</v>
      </c>
      <c r="K24" s="51">
        <v>0</v>
      </c>
    </row>
    <row r="25" spans="2:11" x14ac:dyDescent="0.3">
      <c r="B25" s="48">
        <v>12</v>
      </c>
      <c r="C25" s="77" t="str">
        <f>Services!B$15</f>
        <v>User Defined Service #1</v>
      </c>
      <c r="D25" s="78"/>
      <c r="E25" s="78"/>
      <c r="F25" s="78"/>
      <c r="G25" s="79"/>
      <c r="H25" s="42">
        <v>0</v>
      </c>
      <c r="I25" s="43">
        <v>0</v>
      </c>
      <c r="J25" s="51">
        <v>0</v>
      </c>
      <c r="K25" s="51">
        <v>0</v>
      </c>
    </row>
    <row r="26" spans="2:11" x14ac:dyDescent="0.3">
      <c r="B26" s="48">
        <v>13</v>
      </c>
      <c r="C26" s="77" t="str">
        <f>Services!B$16</f>
        <v>User Defined Service #2</v>
      </c>
      <c r="D26" s="78"/>
      <c r="E26" s="78"/>
      <c r="F26" s="78"/>
      <c r="G26" s="79"/>
      <c r="H26" s="42">
        <v>0</v>
      </c>
      <c r="I26" s="43">
        <v>0</v>
      </c>
      <c r="J26" s="51">
        <v>0</v>
      </c>
      <c r="K26" s="51">
        <v>0</v>
      </c>
    </row>
    <row r="35" spans="2:11" x14ac:dyDescent="0.3">
      <c r="B35" s="80" t="s">
        <v>85</v>
      </c>
      <c r="C35" s="80"/>
      <c r="D35" s="81" t="str">
        <f>Users!B4</f>
        <v>Primary school’s students' mobile devices</v>
      </c>
      <c r="E35" s="82"/>
      <c r="F35" s="82"/>
      <c r="G35" s="82"/>
      <c r="H35" s="82"/>
      <c r="I35" s="82"/>
      <c r="J35" s="82"/>
      <c r="K35" s="82"/>
    </row>
    <row r="36" spans="2:11" x14ac:dyDescent="0.3">
      <c r="B36" s="52"/>
      <c r="C36" s="52"/>
    </row>
    <row r="37" spans="2:11" x14ac:dyDescent="0.3">
      <c r="B37" s="83" t="s">
        <v>3</v>
      </c>
      <c r="C37" s="83" t="s">
        <v>28</v>
      </c>
      <c r="D37" s="84"/>
      <c r="E37" s="84"/>
      <c r="F37" s="84"/>
      <c r="G37" s="84"/>
      <c r="H37" s="85" t="s">
        <v>48</v>
      </c>
      <c r="I37" s="85"/>
      <c r="J37" s="85"/>
      <c r="K37" s="85"/>
    </row>
    <row r="38" spans="2:11" x14ac:dyDescent="0.3">
      <c r="B38" s="83"/>
      <c r="C38" s="83"/>
      <c r="D38" s="84"/>
      <c r="E38" s="84"/>
      <c r="F38" s="84"/>
      <c r="G38" s="84"/>
      <c r="H38" s="85"/>
      <c r="I38" s="85"/>
      <c r="J38" s="85"/>
      <c r="K38" s="85"/>
    </row>
    <row r="39" spans="2:11" ht="57.6" x14ac:dyDescent="0.3">
      <c r="B39" s="83"/>
      <c r="C39" s="83"/>
      <c r="D39" s="84"/>
      <c r="E39" s="84"/>
      <c r="F39" s="84"/>
      <c r="G39" s="84"/>
      <c r="H39" s="53" t="s">
        <v>29</v>
      </c>
      <c r="I39" s="53" t="s">
        <v>30</v>
      </c>
      <c r="J39" s="54" t="s">
        <v>54</v>
      </c>
      <c r="K39" s="54" t="s">
        <v>31</v>
      </c>
    </row>
    <row r="40" spans="2:11" ht="24.9" customHeight="1" x14ac:dyDescent="0.3">
      <c r="B40" s="48">
        <v>1</v>
      </c>
      <c r="C40" s="77" t="str">
        <f>Services!B$4</f>
        <v>Streaming video, including interactive online TV, live-stream trainings, individualized live video instructions etc.</v>
      </c>
      <c r="D40" s="78"/>
      <c r="E40" s="78"/>
      <c r="F40" s="78"/>
      <c r="G40" s="79"/>
      <c r="H40" s="42">
        <v>250</v>
      </c>
      <c r="I40" s="43">
        <v>6</v>
      </c>
      <c r="J40" s="51">
        <v>0.63</v>
      </c>
      <c r="K40" s="51">
        <v>412.5</v>
      </c>
    </row>
    <row r="41" spans="2:11" ht="24.9" customHeight="1" x14ac:dyDescent="0.3">
      <c r="B41" s="48">
        <v>2</v>
      </c>
      <c r="C41" s="77" t="str">
        <f>Services!B$5</f>
        <v>Services for group &amp; individual communication, including webinars, conferences, meetings, tutoring, etc.</v>
      </c>
      <c r="D41" s="78"/>
      <c r="E41" s="78"/>
      <c r="F41" s="78"/>
      <c r="G41" s="79"/>
      <c r="H41" s="42">
        <v>100</v>
      </c>
      <c r="I41" s="43">
        <v>2.25</v>
      </c>
      <c r="J41" s="51">
        <v>6.0000000000000001E-3</v>
      </c>
      <c r="K41" s="51">
        <v>202.5</v>
      </c>
    </row>
    <row r="42" spans="2:11" ht="24.9" customHeight="1" x14ac:dyDescent="0.3">
      <c r="B42" s="48">
        <v>3</v>
      </c>
      <c r="C42" s="77" t="str">
        <f>Services!B$6</f>
        <v>Online virtual simulators, educational online games, etc.</v>
      </c>
      <c r="D42" s="78"/>
      <c r="E42" s="78"/>
      <c r="F42" s="78"/>
      <c r="G42" s="79"/>
      <c r="H42" s="42">
        <v>100</v>
      </c>
      <c r="I42" s="43">
        <v>1.125</v>
      </c>
      <c r="J42" s="51">
        <v>0</v>
      </c>
      <c r="K42" s="51">
        <v>0</v>
      </c>
    </row>
    <row r="43" spans="2:11" ht="24.9" customHeight="1" x14ac:dyDescent="0.3">
      <c r="B43" s="48">
        <v>4</v>
      </c>
      <c r="C43" s="77" t="str">
        <f>Services!B$7</f>
        <v>Services for group work (virtual boards, online graphics, etc.)</v>
      </c>
      <c r="D43" s="78"/>
      <c r="E43" s="78"/>
      <c r="F43" s="78"/>
      <c r="G43" s="79"/>
      <c r="H43" s="42">
        <v>100</v>
      </c>
      <c r="I43" s="43">
        <v>2.25</v>
      </c>
      <c r="J43" s="51">
        <v>7.4999999999999997E-3</v>
      </c>
      <c r="K43" s="51">
        <v>75</v>
      </c>
    </row>
    <row r="44" spans="2:11" ht="24.9" customHeight="1" x14ac:dyDescent="0.3">
      <c r="B44" s="48">
        <v>5</v>
      </c>
      <c r="C44" s="77" t="str">
        <f>Services!B$8</f>
        <v>Other Real Time Traffic Services</v>
      </c>
      <c r="D44" s="78"/>
      <c r="E44" s="78"/>
      <c r="F44" s="78"/>
      <c r="G44" s="79"/>
      <c r="H44" s="42">
        <v>250</v>
      </c>
      <c r="I44" s="43">
        <v>1.125</v>
      </c>
      <c r="J44" s="51">
        <v>0</v>
      </c>
      <c r="K44" s="51">
        <v>0</v>
      </c>
    </row>
    <row r="45" spans="2:11" ht="24.9" customHeight="1" x14ac:dyDescent="0.3">
      <c r="B45" s="48">
        <v>6</v>
      </c>
      <c r="C45" s="77" t="str">
        <f>Services!B$9</f>
        <v>Recorded educational clips, video instructions, trainings, Individualized recorded video, multimedia courses etc.</v>
      </c>
      <c r="D45" s="78"/>
      <c r="E45" s="78"/>
      <c r="F45" s="78"/>
      <c r="G45" s="79"/>
      <c r="H45" s="42">
        <v>250</v>
      </c>
      <c r="I45" s="43">
        <v>1.6875</v>
      </c>
      <c r="J45" s="51">
        <v>3.7499999999999999E-3</v>
      </c>
      <c r="K45" s="51">
        <v>375</v>
      </c>
    </row>
    <row r="46" spans="2:11" ht="24.9" customHeight="1" x14ac:dyDescent="0.3">
      <c r="B46" s="48">
        <v>7</v>
      </c>
      <c r="C46" s="77" t="str">
        <f>Services!B$10</f>
        <v>Learning management systems, including libraries, repositories, databases, educational web-services, services for storing information etc.</v>
      </c>
      <c r="D46" s="78"/>
      <c r="E46" s="78"/>
      <c r="F46" s="78"/>
      <c r="G46" s="79"/>
      <c r="H46" s="42">
        <v>375</v>
      </c>
      <c r="I46" s="43">
        <v>1.125</v>
      </c>
      <c r="J46" s="51">
        <v>0</v>
      </c>
      <c r="K46" s="51">
        <v>0</v>
      </c>
    </row>
    <row r="47" spans="2:11" ht="24.9" customHeight="1" x14ac:dyDescent="0.3">
      <c r="B47" s="48">
        <v>8</v>
      </c>
      <c r="C47" s="77" t="str">
        <f>Services!B$11</f>
        <v>Web-serfing, Search engines, bookmarking services, etc. E-mail, FTP and other classic services</v>
      </c>
      <c r="D47" s="78"/>
      <c r="E47" s="78"/>
      <c r="F47" s="78"/>
      <c r="G47" s="79"/>
      <c r="H47" s="42">
        <v>375</v>
      </c>
      <c r="I47" s="43">
        <v>1.125</v>
      </c>
      <c r="J47" s="51">
        <v>0.51</v>
      </c>
      <c r="K47" s="51">
        <v>7.5</v>
      </c>
    </row>
    <row r="48" spans="2:11" ht="24.9" customHeight="1" x14ac:dyDescent="0.3">
      <c r="B48" s="48">
        <v>9</v>
      </c>
      <c r="C48" s="77" t="str">
        <f>Services!B$12</f>
        <v>Discussion boards, Social media &amp; networks, forums etc.</v>
      </c>
      <c r="D48" s="78"/>
      <c r="E48" s="78"/>
      <c r="F48" s="78"/>
      <c r="G48" s="79"/>
      <c r="H48" s="42">
        <v>375</v>
      </c>
      <c r="I48" s="43">
        <v>1.125</v>
      </c>
      <c r="J48" s="51">
        <v>0</v>
      </c>
      <c r="K48" s="51">
        <v>0</v>
      </c>
    </row>
    <row r="49" spans="2:11" ht="24.9" customHeight="1" x14ac:dyDescent="0.3">
      <c r="B49" s="48">
        <v>10</v>
      </c>
      <c r="C49" s="77" t="str">
        <f>Services!B$13</f>
        <v>Calendars and organizers, including lessons planning. Government e-portal access. Reporting Services etc.</v>
      </c>
      <c r="D49" s="78"/>
      <c r="E49" s="78"/>
      <c r="F49" s="78"/>
      <c r="G49" s="79"/>
      <c r="H49" s="42">
        <v>375</v>
      </c>
      <c r="I49" s="43">
        <v>0.5625</v>
      </c>
      <c r="J49" s="51">
        <v>0</v>
      </c>
      <c r="K49" s="51">
        <v>0</v>
      </c>
    </row>
    <row r="50" spans="2:11" ht="24.9" customHeight="1" x14ac:dyDescent="0.3">
      <c r="B50" s="48">
        <v>11</v>
      </c>
      <c r="C50" s="77" t="str">
        <f>Services!B$14</f>
        <v>Other Non-Real Time Traffic Services</v>
      </c>
      <c r="D50" s="78"/>
      <c r="E50" s="78"/>
      <c r="F50" s="78"/>
      <c r="G50" s="79"/>
      <c r="H50" s="42">
        <v>375</v>
      </c>
      <c r="I50" s="43">
        <v>0.5625</v>
      </c>
      <c r="J50" s="51">
        <v>0</v>
      </c>
      <c r="K50" s="51">
        <v>0</v>
      </c>
    </row>
    <row r="51" spans="2:11" ht="24.9" customHeight="1" x14ac:dyDescent="0.3">
      <c r="B51" s="48">
        <v>12</v>
      </c>
      <c r="C51" s="77" t="str">
        <f>Services!B$15</f>
        <v>User Defined Service #1</v>
      </c>
      <c r="D51" s="78"/>
      <c r="E51" s="78"/>
      <c r="F51" s="78"/>
      <c r="G51" s="79"/>
      <c r="H51" s="42">
        <v>0</v>
      </c>
      <c r="I51" s="43">
        <v>0</v>
      </c>
      <c r="J51" s="51">
        <v>0</v>
      </c>
      <c r="K51" s="51">
        <v>0</v>
      </c>
    </row>
    <row r="52" spans="2:11" ht="24.9" customHeight="1" x14ac:dyDescent="0.3">
      <c r="B52" s="48">
        <v>13</v>
      </c>
      <c r="C52" s="77" t="str">
        <f>Services!B$16</f>
        <v>User Defined Service #2</v>
      </c>
      <c r="D52" s="78"/>
      <c r="E52" s="78"/>
      <c r="F52" s="78"/>
      <c r="G52" s="79"/>
      <c r="H52" s="42">
        <v>0</v>
      </c>
      <c r="I52" s="43">
        <v>0</v>
      </c>
      <c r="J52" s="51">
        <v>0</v>
      </c>
      <c r="K52" s="51">
        <v>0</v>
      </c>
    </row>
    <row r="53" spans="2:11" ht="24.9" customHeight="1" x14ac:dyDescent="0.3"/>
    <row r="54" spans="2:11" ht="24.9" customHeight="1" x14ac:dyDescent="0.3"/>
    <row r="55" spans="2:11" ht="24.9" customHeight="1" x14ac:dyDescent="0.3"/>
    <row r="56" spans="2:11" ht="24.9" customHeight="1" x14ac:dyDescent="0.3"/>
    <row r="57" spans="2:11" ht="24.9" customHeight="1" x14ac:dyDescent="0.3"/>
    <row r="58" spans="2:11" ht="24.9" customHeight="1" x14ac:dyDescent="0.3"/>
    <row r="59" spans="2:11" ht="24.9" customHeight="1" x14ac:dyDescent="0.3"/>
    <row r="60" spans="2:11" ht="24.9" customHeight="1" x14ac:dyDescent="0.3"/>
    <row r="61" spans="2:11" ht="24.9" customHeight="1" x14ac:dyDescent="0.3">
      <c r="B61" s="80" t="s">
        <v>85</v>
      </c>
      <c r="C61" s="80"/>
      <c r="D61" s="81" t="str">
        <f>Users!B5</f>
        <v>Secondary school’s students' workstations (or laptops) in the classrooms</v>
      </c>
      <c r="E61" s="81"/>
      <c r="F61" s="81"/>
      <c r="G61" s="81"/>
      <c r="H61" s="81"/>
      <c r="I61" s="81"/>
      <c r="J61" s="81"/>
      <c r="K61" s="81"/>
    </row>
    <row r="62" spans="2:11" ht="24.9" customHeight="1" x14ac:dyDescent="0.3">
      <c r="B62" s="52"/>
      <c r="C62" s="52"/>
    </row>
    <row r="63" spans="2:11" ht="24.9" customHeight="1" x14ac:dyDescent="0.3">
      <c r="B63" s="83" t="s">
        <v>3</v>
      </c>
      <c r="C63" s="83" t="s">
        <v>28</v>
      </c>
      <c r="D63" s="84"/>
      <c r="E63" s="84"/>
      <c r="F63" s="84"/>
      <c r="G63" s="84"/>
      <c r="H63" s="85" t="s">
        <v>48</v>
      </c>
      <c r="I63" s="85"/>
      <c r="J63" s="85"/>
      <c r="K63" s="85"/>
    </row>
    <row r="64" spans="2:11" ht="24.9" customHeight="1" x14ac:dyDescent="0.3">
      <c r="B64" s="83"/>
      <c r="C64" s="83"/>
      <c r="D64" s="84"/>
      <c r="E64" s="84"/>
      <c r="F64" s="84"/>
      <c r="G64" s="84"/>
      <c r="H64" s="85"/>
      <c r="I64" s="85"/>
      <c r="J64" s="85"/>
      <c r="K64" s="85"/>
    </row>
    <row r="65" spans="2:11" ht="57.6" x14ac:dyDescent="0.3">
      <c r="B65" s="83"/>
      <c r="C65" s="83"/>
      <c r="D65" s="84"/>
      <c r="E65" s="84"/>
      <c r="F65" s="84"/>
      <c r="G65" s="84"/>
      <c r="H65" s="53" t="s">
        <v>29</v>
      </c>
      <c r="I65" s="53" t="s">
        <v>30</v>
      </c>
      <c r="J65" s="54" t="s">
        <v>54</v>
      </c>
      <c r="K65" s="54" t="s">
        <v>31</v>
      </c>
    </row>
    <row r="66" spans="2:11" ht="24.9" customHeight="1" x14ac:dyDescent="0.3">
      <c r="B66" s="48">
        <v>1</v>
      </c>
      <c r="C66" s="77" t="str">
        <f>Services!B$4</f>
        <v>Streaming video, including interactive online TV, live-stream trainings, individualized live video instructions etc.</v>
      </c>
      <c r="D66" s="78"/>
      <c r="E66" s="78"/>
      <c r="F66" s="78"/>
      <c r="G66" s="79"/>
      <c r="H66" s="42">
        <v>250</v>
      </c>
      <c r="I66" s="43">
        <v>6</v>
      </c>
      <c r="J66" s="51">
        <v>0.63</v>
      </c>
      <c r="K66" s="51">
        <v>412.5</v>
      </c>
    </row>
    <row r="67" spans="2:11" ht="24.9" customHeight="1" x14ac:dyDescent="0.3">
      <c r="B67" s="48">
        <v>2</v>
      </c>
      <c r="C67" s="77" t="str">
        <f>Services!B$5</f>
        <v>Services for group &amp; individual communication, including webinars, conferences, meetings, tutoring, etc.</v>
      </c>
      <c r="D67" s="78"/>
      <c r="E67" s="78"/>
      <c r="F67" s="78"/>
      <c r="G67" s="79"/>
      <c r="H67" s="42">
        <v>100</v>
      </c>
      <c r="I67" s="43">
        <v>2.25</v>
      </c>
      <c r="J67" s="51">
        <v>6.0000000000000001E-3</v>
      </c>
      <c r="K67" s="51">
        <v>202.5</v>
      </c>
    </row>
    <row r="68" spans="2:11" ht="24.9" customHeight="1" x14ac:dyDescent="0.3">
      <c r="B68" s="48">
        <v>3</v>
      </c>
      <c r="C68" s="77" t="str">
        <f>Services!B$6</f>
        <v>Online virtual simulators, educational online games, etc.</v>
      </c>
      <c r="D68" s="78"/>
      <c r="E68" s="78"/>
      <c r="F68" s="78"/>
      <c r="G68" s="79"/>
      <c r="H68" s="42">
        <v>100</v>
      </c>
      <c r="I68" s="43">
        <v>1.125</v>
      </c>
      <c r="J68" s="51">
        <v>1.2E-2</v>
      </c>
      <c r="K68" s="51">
        <v>150</v>
      </c>
    </row>
    <row r="69" spans="2:11" ht="24.9" customHeight="1" x14ac:dyDescent="0.3">
      <c r="B69" s="48">
        <v>4</v>
      </c>
      <c r="C69" s="77" t="str">
        <f>Services!B$7</f>
        <v>Services for group work (virtual boards, online graphics, etc.)</v>
      </c>
      <c r="D69" s="78"/>
      <c r="E69" s="78"/>
      <c r="F69" s="78"/>
      <c r="G69" s="79"/>
      <c r="H69" s="42">
        <v>100</v>
      </c>
      <c r="I69" s="43">
        <v>2.25</v>
      </c>
      <c r="J69" s="51">
        <v>7.4999999999999997E-3</v>
      </c>
      <c r="K69" s="51">
        <v>75</v>
      </c>
    </row>
    <row r="70" spans="2:11" ht="24.9" customHeight="1" x14ac:dyDescent="0.3">
      <c r="B70" s="48">
        <v>5</v>
      </c>
      <c r="C70" s="77" t="str">
        <f>Services!B$8</f>
        <v>Other Real Time Traffic Services</v>
      </c>
      <c r="D70" s="78"/>
      <c r="E70" s="78"/>
      <c r="F70" s="78"/>
      <c r="G70" s="79"/>
      <c r="H70" s="42">
        <v>250</v>
      </c>
      <c r="I70" s="43">
        <v>1.125</v>
      </c>
      <c r="J70" s="51">
        <v>7.4999999999999997E-3</v>
      </c>
      <c r="K70" s="51">
        <v>150</v>
      </c>
    </row>
    <row r="71" spans="2:11" ht="24.9" customHeight="1" x14ac:dyDescent="0.3">
      <c r="B71" s="48">
        <v>6</v>
      </c>
      <c r="C71" s="77" t="str">
        <f>Services!B$9</f>
        <v>Recorded educational clips, video instructions, trainings, Individualized recorded video, multimedia courses etc.</v>
      </c>
      <c r="D71" s="78"/>
      <c r="E71" s="78"/>
      <c r="F71" s="78"/>
      <c r="G71" s="79"/>
      <c r="H71" s="42">
        <v>250</v>
      </c>
      <c r="I71" s="43">
        <v>1.6875</v>
      </c>
      <c r="J71" s="51">
        <v>3.7499999999999999E-3</v>
      </c>
      <c r="K71" s="51">
        <v>375</v>
      </c>
    </row>
    <row r="72" spans="2:11" ht="24.9" customHeight="1" x14ac:dyDescent="0.3">
      <c r="B72" s="48">
        <v>7</v>
      </c>
      <c r="C72" s="77" t="str">
        <f>Services!B$10</f>
        <v>Learning management systems, including libraries, repositories, databases, educational web-services, services for storing information etc.</v>
      </c>
      <c r="D72" s="78"/>
      <c r="E72" s="78"/>
      <c r="F72" s="78"/>
      <c r="G72" s="79"/>
      <c r="H72" s="42">
        <v>375</v>
      </c>
      <c r="I72" s="43">
        <v>1.125</v>
      </c>
      <c r="J72" s="51">
        <v>1</v>
      </c>
      <c r="K72" s="51">
        <v>100</v>
      </c>
    </row>
    <row r="73" spans="2:11" ht="24.9" customHeight="1" x14ac:dyDescent="0.3">
      <c r="B73" s="48">
        <v>8</v>
      </c>
      <c r="C73" s="77" t="str">
        <f>Services!B$11</f>
        <v>Web-serfing, Search engines, bookmarking services, etc. E-mail, FTP and other classic services</v>
      </c>
      <c r="D73" s="78"/>
      <c r="E73" s="78"/>
      <c r="F73" s="78"/>
      <c r="G73" s="79"/>
      <c r="H73" s="42">
        <v>375</v>
      </c>
      <c r="I73" s="43">
        <v>1.125</v>
      </c>
      <c r="J73" s="51">
        <v>0.51</v>
      </c>
      <c r="K73" s="51">
        <v>7.5</v>
      </c>
    </row>
    <row r="74" spans="2:11" ht="24.9" customHeight="1" x14ac:dyDescent="0.3">
      <c r="B74" s="48">
        <v>9</v>
      </c>
      <c r="C74" s="77" t="str">
        <f>Services!B$12</f>
        <v>Discussion boards, Social media &amp; networks, forums etc.</v>
      </c>
      <c r="D74" s="78"/>
      <c r="E74" s="78"/>
      <c r="F74" s="78"/>
      <c r="G74" s="79"/>
      <c r="H74" s="42">
        <v>375</v>
      </c>
      <c r="I74" s="43">
        <v>1.125</v>
      </c>
      <c r="J74" s="51">
        <v>0.26249999999999996</v>
      </c>
      <c r="K74" s="51">
        <v>2.25</v>
      </c>
    </row>
    <row r="75" spans="2:11" ht="24.9" customHeight="1" x14ac:dyDescent="0.3">
      <c r="B75" s="48">
        <v>10</v>
      </c>
      <c r="C75" s="77" t="str">
        <f>Services!B$13</f>
        <v>Calendars and organizers, including lessons planning. Government e-portal access. Reporting Services etc.</v>
      </c>
      <c r="D75" s="78"/>
      <c r="E75" s="78"/>
      <c r="F75" s="78"/>
      <c r="G75" s="79"/>
      <c r="H75" s="42">
        <v>375</v>
      </c>
      <c r="I75" s="43">
        <v>0.5625</v>
      </c>
      <c r="J75" s="51">
        <v>0</v>
      </c>
      <c r="K75" s="51">
        <v>0</v>
      </c>
    </row>
    <row r="76" spans="2:11" ht="24.9" customHeight="1" x14ac:dyDescent="0.3">
      <c r="B76" s="48">
        <v>11</v>
      </c>
      <c r="C76" s="77" t="str">
        <f>Services!B$14</f>
        <v>Other Non-Real Time Traffic Services</v>
      </c>
      <c r="D76" s="78"/>
      <c r="E76" s="78"/>
      <c r="F76" s="78"/>
      <c r="G76" s="79"/>
      <c r="H76" s="42">
        <v>375</v>
      </c>
      <c r="I76" s="43">
        <v>0.5625</v>
      </c>
      <c r="J76" s="51">
        <v>0</v>
      </c>
      <c r="K76" s="51">
        <v>0</v>
      </c>
    </row>
    <row r="77" spans="2:11" ht="24.9" customHeight="1" x14ac:dyDescent="0.3">
      <c r="B77" s="48">
        <v>12</v>
      </c>
      <c r="C77" s="77" t="str">
        <f>Services!B$15</f>
        <v>User Defined Service #1</v>
      </c>
      <c r="D77" s="78"/>
      <c r="E77" s="78"/>
      <c r="F77" s="78"/>
      <c r="G77" s="79"/>
      <c r="H77" s="42">
        <v>0</v>
      </c>
      <c r="I77" s="43">
        <v>0</v>
      </c>
      <c r="J77" s="51">
        <v>0</v>
      </c>
      <c r="K77" s="51">
        <v>0</v>
      </c>
    </row>
    <row r="78" spans="2:11" ht="24.9" customHeight="1" x14ac:dyDescent="0.3">
      <c r="B78" s="48">
        <v>13</v>
      </c>
      <c r="C78" s="77" t="str">
        <f>Services!B$16</f>
        <v>User Defined Service #2</v>
      </c>
      <c r="D78" s="78"/>
      <c r="E78" s="78"/>
      <c r="F78" s="78"/>
      <c r="G78" s="79"/>
      <c r="H78" s="42">
        <v>0</v>
      </c>
      <c r="I78" s="43">
        <v>0</v>
      </c>
      <c r="J78" s="51">
        <v>0</v>
      </c>
      <c r="K78" s="51">
        <v>0</v>
      </c>
    </row>
    <row r="79" spans="2:11" ht="24.9" customHeight="1" x14ac:dyDescent="0.3"/>
    <row r="80" spans="2:11" ht="24.9" customHeight="1" x14ac:dyDescent="0.3"/>
    <row r="81" spans="2:11" ht="24.9" customHeight="1" x14ac:dyDescent="0.3"/>
    <row r="82" spans="2:11" ht="24.9" customHeight="1" x14ac:dyDescent="0.3"/>
    <row r="83" spans="2:11" ht="24.9" customHeight="1" x14ac:dyDescent="0.3"/>
    <row r="84" spans="2:11" ht="24.9" customHeight="1" x14ac:dyDescent="0.3"/>
    <row r="85" spans="2:11" ht="24.9" customHeight="1" x14ac:dyDescent="0.3"/>
    <row r="86" spans="2:11" ht="24.9" customHeight="1" x14ac:dyDescent="0.3"/>
    <row r="87" spans="2:11" ht="24.9" customHeight="1" x14ac:dyDescent="0.3">
      <c r="B87" s="80" t="s">
        <v>47</v>
      </c>
      <c r="C87" s="80"/>
      <c r="D87" s="81" t="str">
        <f>Users!B6</f>
        <v>Secondary school’s students' mobile devices</v>
      </c>
      <c r="E87" s="82"/>
      <c r="F87" s="82"/>
      <c r="G87" s="82"/>
      <c r="H87" s="82"/>
      <c r="I87" s="82"/>
      <c r="J87" s="82"/>
      <c r="K87" s="82"/>
    </row>
    <row r="88" spans="2:11" ht="24.9" customHeight="1" x14ac:dyDescent="0.3">
      <c r="B88" s="52"/>
      <c r="C88" s="52"/>
    </row>
    <row r="89" spans="2:11" ht="24.9" customHeight="1" x14ac:dyDescent="0.3">
      <c r="B89" s="83" t="s">
        <v>3</v>
      </c>
      <c r="C89" s="83" t="s">
        <v>28</v>
      </c>
      <c r="D89" s="84"/>
      <c r="E89" s="84"/>
      <c r="F89" s="84"/>
      <c r="G89" s="84"/>
      <c r="H89" s="85" t="s">
        <v>48</v>
      </c>
      <c r="I89" s="85"/>
      <c r="J89" s="85"/>
      <c r="K89" s="85"/>
    </row>
    <row r="90" spans="2:11" ht="24.9" customHeight="1" x14ac:dyDescent="0.3">
      <c r="B90" s="83"/>
      <c r="C90" s="83"/>
      <c r="D90" s="84"/>
      <c r="E90" s="84"/>
      <c r="F90" s="84"/>
      <c r="G90" s="84"/>
      <c r="H90" s="85"/>
      <c r="I90" s="85"/>
      <c r="J90" s="85"/>
      <c r="K90" s="85"/>
    </row>
    <row r="91" spans="2:11" ht="57.6" x14ac:dyDescent="0.3">
      <c r="B91" s="83"/>
      <c r="C91" s="83"/>
      <c r="D91" s="84"/>
      <c r="E91" s="84"/>
      <c r="F91" s="84"/>
      <c r="G91" s="84"/>
      <c r="H91" s="53" t="s">
        <v>29</v>
      </c>
      <c r="I91" s="53" t="s">
        <v>30</v>
      </c>
      <c r="J91" s="54" t="s">
        <v>54</v>
      </c>
      <c r="K91" s="54" t="s">
        <v>31</v>
      </c>
    </row>
    <row r="92" spans="2:11" ht="24.9" customHeight="1" x14ac:dyDescent="0.3">
      <c r="B92" s="48">
        <v>1</v>
      </c>
      <c r="C92" s="77" t="str">
        <f>Services!B$4</f>
        <v>Streaming video, including interactive online TV, live-stream trainings, individualized live video instructions etc.</v>
      </c>
      <c r="D92" s="78"/>
      <c r="E92" s="78"/>
      <c r="F92" s="78"/>
      <c r="G92" s="79"/>
      <c r="H92" s="42">
        <v>250</v>
      </c>
      <c r="I92" s="43">
        <v>6</v>
      </c>
      <c r="J92" s="51">
        <v>0.63</v>
      </c>
      <c r="K92" s="51">
        <v>412.5</v>
      </c>
    </row>
    <row r="93" spans="2:11" ht="24.9" customHeight="1" x14ac:dyDescent="0.3">
      <c r="B93" s="48">
        <v>2</v>
      </c>
      <c r="C93" s="77" t="str">
        <f>Services!B$5</f>
        <v>Services for group &amp; individual communication, including webinars, conferences, meetings, tutoring, etc.</v>
      </c>
      <c r="D93" s="78"/>
      <c r="E93" s="78"/>
      <c r="F93" s="78"/>
      <c r="G93" s="79"/>
      <c r="H93" s="42">
        <v>100</v>
      </c>
      <c r="I93" s="43">
        <v>2.25</v>
      </c>
      <c r="J93" s="51">
        <v>6.0000000000000001E-3</v>
      </c>
      <c r="K93" s="51">
        <v>202.5</v>
      </c>
    </row>
    <row r="94" spans="2:11" ht="24.9" customHeight="1" x14ac:dyDescent="0.3">
      <c r="B94" s="48">
        <v>3</v>
      </c>
      <c r="C94" s="77" t="str">
        <f>Services!B$6</f>
        <v>Online virtual simulators, educational online games, etc.</v>
      </c>
      <c r="D94" s="78"/>
      <c r="E94" s="78"/>
      <c r="F94" s="78"/>
      <c r="G94" s="79"/>
      <c r="H94" s="42">
        <v>100</v>
      </c>
      <c r="I94" s="43">
        <v>1.125</v>
      </c>
      <c r="J94" s="51">
        <v>0</v>
      </c>
      <c r="K94" s="51">
        <v>0</v>
      </c>
    </row>
    <row r="95" spans="2:11" ht="24.9" customHeight="1" x14ac:dyDescent="0.3">
      <c r="B95" s="48">
        <v>4</v>
      </c>
      <c r="C95" s="77" t="str">
        <f>Services!B$7</f>
        <v>Services for group work (virtual boards, online graphics, etc.)</v>
      </c>
      <c r="D95" s="78"/>
      <c r="E95" s="78"/>
      <c r="F95" s="78"/>
      <c r="G95" s="79"/>
      <c r="H95" s="42">
        <v>100</v>
      </c>
      <c r="I95" s="43">
        <v>2.25</v>
      </c>
      <c r="J95" s="51">
        <v>7.4999999999999997E-3</v>
      </c>
      <c r="K95" s="51">
        <v>75</v>
      </c>
    </row>
    <row r="96" spans="2:11" ht="24.9" customHeight="1" x14ac:dyDescent="0.3">
      <c r="B96" s="48">
        <v>5</v>
      </c>
      <c r="C96" s="77" t="str">
        <f>Services!B$8</f>
        <v>Other Real Time Traffic Services</v>
      </c>
      <c r="D96" s="78"/>
      <c r="E96" s="78"/>
      <c r="F96" s="78"/>
      <c r="G96" s="79"/>
      <c r="H96" s="42">
        <v>250</v>
      </c>
      <c r="I96" s="43">
        <v>1.125</v>
      </c>
      <c r="J96" s="51">
        <v>0</v>
      </c>
      <c r="K96" s="51">
        <v>0</v>
      </c>
    </row>
    <row r="97" spans="2:11" ht="24.9" customHeight="1" x14ac:dyDescent="0.3">
      <c r="B97" s="48">
        <v>6</v>
      </c>
      <c r="C97" s="77" t="str">
        <f>Services!B$9</f>
        <v>Recorded educational clips, video instructions, trainings, Individualized recorded video, multimedia courses etc.</v>
      </c>
      <c r="D97" s="78"/>
      <c r="E97" s="78"/>
      <c r="F97" s="78"/>
      <c r="G97" s="79"/>
      <c r="H97" s="42">
        <v>250</v>
      </c>
      <c r="I97" s="43">
        <v>1.6875</v>
      </c>
      <c r="J97" s="51">
        <v>3.7499999999999999E-3</v>
      </c>
      <c r="K97" s="51">
        <v>375</v>
      </c>
    </row>
    <row r="98" spans="2:11" ht="24.9" customHeight="1" x14ac:dyDescent="0.3">
      <c r="B98" s="48">
        <v>7</v>
      </c>
      <c r="C98" s="77" t="str">
        <f>Services!B$10</f>
        <v>Learning management systems, including libraries, repositories, databases, educational web-services, services for storing information etc.</v>
      </c>
      <c r="D98" s="78"/>
      <c r="E98" s="78"/>
      <c r="F98" s="78"/>
      <c r="G98" s="79"/>
      <c r="H98" s="42">
        <v>375</v>
      </c>
      <c r="I98" s="43">
        <v>1.125</v>
      </c>
      <c r="J98" s="51">
        <v>0</v>
      </c>
      <c r="K98" s="51">
        <v>0</v>
      </c>
    </row>
    <row r="99" spans="2:11" ht="24.9" customHeight="1" x14ac:dyDescent="0.3">
      <c r="B99" s="48">
        <v>8</v>
      </c>
      <c r="C99" s="77" t="str">
        <f>Services!B$11</f>
        <v>Web-serfing, Search engines, bookmarking services, etc. E-mail, FTP and other classic services</v>
      </c>
      <c r="D99" s="78"/>
      <c r="E99" s="78"/>
      <c r="F99" s="78"/>
      <c r="G99" s="79"/>
      <c r="H99" s="42">
        <v>375</v>
      </c>
      <c r="I99" s="43">
        <v>1.125</v>
      </c>
      <c r="J99" s="51">
        <v>0.51</v>
      </c>
      <c r="K99" s="51">
        <v>7.5</v>
      </c>
    </row>
    <row r="100" spans="2:11" ht="24.9" customHeight="1" x14ac:dyDescent="0.3">
      <c r="B100" s="48">
        <v>9</v>
      </c>
      <c r="C100" s="77" t="str">
        <f>Services!B$12</f>
        <v>Discussion boards, Social media &amp; networks, forums etc.</v>
      </c>
      <c r="D100" s="78"/>
      <c r="E100" s="78"/>
      <c r="F100" s="78"/>
      <c r="G100" s="79"/>
      <c r="H100" s="42">
        <v>375</v>
      </c>
      <c r="I100" s="43">
        <v>1.125</v>
      </c>
      <c r="J100" s="51">
        <v>0</v>
      </c>
      <c r="K100" s="51">
        <v>0</v>
      </c>
    </row>
    <row r="101" spans="2:11" ht="24.9" customHeight="1" x14ac:dyDescent="0.3">
      <c r="B101" s="48">
        <v>10</v>
      </c>
      <c r="C101" s="77" t="str">
        <f>Services!B$13</f>
        <v>Calendars and organizers, including lessons planning. Government e-portal access. Reporting Services etc.</v>
      </c>
      <c r="D101" s="78"/>
      <c r="E101" s="78"/>
      <c r="F101" s="78"/>
      <c r="G101" s="79"/>
      <c r="H101" s="42">
        <v>375</v>
      </c>
      <c r="I101" s="43">
        <v>0.5625</v>
      </c>
      <c r="J101" s="51">
        <v>0</v>
      </c>
      <c r="K101" s="51">
        <v>0</v>
      </c>
    </row>
    <row r="102" spans="2:11" ht="24.9" customHeight="1" x14ac:dyDescent="0.3">
      <c r="B102" s="48">
        <v>11</v>
      </c>
      <c r="C102" s="77" t="str">
        <f>Services!B$14</f>
        <v>Other Non-Real Time Traffic Services</v>
      </c>
      <c r="D102" s="78"/>
      <c r="E102" s="78"/>
      <c r="F102" s="78"/>
      <c r="G102" s="79"/>
      <c r="H102" s="42">
        <v>375</v>
      </c>
      <c r="I102" s="43">
        <v>0.5625</v>
      </c>
      <c r="J102" s="51">
        <v>0</v>
      </c>
      <c r="K102" s="51">
        <v>0</v>
      </c>
    </row>
    <row r="103" spans="2:11" ht="24.9" customHeight="1" x14ac:dyDescent="0.3">
      <c r="B103" s="48">
        <v>12</v>
      </c>
      <c r="C103" s="77" t="str">
        <f>Services!B$15</f>
        <v>User Defined Service #1</v>
      </c>
      <c r="D103" s="78"/>
      <c r="E103" s="78"/>
      <c r="F103" s="78"/>
      <c r="G103" s="79"/>
      <c r="H103" s="42">
        <v>0</v>
      </c>
      <c r="I103" s="43">
        <v>0</v>
      </c>
      <c r="J103" s="51">
        <v>0</v>
      </c>
      <c r="K103" s="51">
        <v>0</v>
      </c>
    </row>
    <row r="104" spans="2:11" ht="24.9" customHeight="1" x14ac:dyDescent="0.3">
      <c r="B104" s="48">
        <v>13</v>
      </c>
      <c r="C104" s="77" t="str">
        <f>Services!B$16</f>
        <v>User Defined Service #2</v>
      </c>
      <c r="D104" s="78"/>
      <c r="E104" s="78"/>
      <c r="F104" s="78"/>
      <c r="G104" s="79"/>
      <c r="H104" s="42">
        <v>0</v>
      </c>
      <c r="I104" s="43">
        <v>0</v>
      </c>
      <c r="J104" s="51">
        <v>0</v>
      </c>
      <c r="K104" s="51">
        <v>0</v>
      </c>
    </row>
    <row r="105" spans="2:11" ht="24.9" customHeight="1" x14ac:dyDescent="0.3"/>
    <row r="106" spans="2:11" ht="24.9" customHeight="1" x14ac:dyDescent="0.3"/>
    <row r="107" spans="2:11" ht="24.9" customHeight="1" x14ac:dyDescent="0.3"/>
    <row r="108" spans="2:11" ht="24.9" customHeight="1" x14ac:dyDescent="0.3"/>
    <row r="109" spans="2:11" ht="24.9" customHeight="1" x14ac:dyDescent="0.3"/>
    <row r="110" spans="2:11" ht="24.9" customHeight="1" x14ac:dyDescent="0.3"/>
    <row r="111" spans="2:11" ht="24.9" customHeight="1" x14ac:dyDescent="0.3"/>
    <row r="112" spans="2:11" ht="24.9" customHeight="1" x14ac:dyDescent="0.3"/>
    <row r="113" spans="2:11" ht="24.9" customHeight="1" x14ac:dyDescent="0.3">
      <c r="B113" s="80" t="s">
        <v>85</v>
      </c>
      <c r="C113" s="80"/>
      <c r="D113" s="81" t="str">
        <f>Users!B7</f>
        <v>High school’s students' workstations (or laptops) in the classrooms</v>
      </c>
      <c r="E113" s="82"/>
      <c r="F113" s="82"/>
      <c r="G113" s="82"/>
      <c r="H113" s="82"/>
      <c r="I113" s="82"/>
      <c r="J113" s="82"/>
      <c r="K113" s="82"/>
    </row>
    <row r="114" spans="2:11" ht="24.9" customHeight="1" x14ac:dyDescent="0.3">
      <c r="B114" s="52"/>
      <c r="C114" s="52"/>
    </row>
    <row r="115" spans="2:11" ht="24.9" customHeight="1" x14ac:dyDescent="0.3">
      <c r="B115" s="83" t="s">
        <v>3</v>
      </c>
      <c r="C115" s="83" t="s">
        <v>28</v>
      </c>
      <c r="D115" s="84"/>
      <c r="E115" s="84"/>
      <c r="F115" s="84"/>
      <c r="G115" s="84"/>
      <c r="H115" s="85" t="s">
        <v>48</v>
      </c>
      <c r="I115" s="85"/>
      <c r="J115" s="85"/>
      <c r="K115" s="85"/>
    </row>
    <row r="116" spans="2:11" ht="24.9" customHeight="1" x14ac:dyDescent="0.3">
      <c r="B116" s="83"/>
      <c r="C116" s="83"/>
      <c r="D116" s="84"/>
      <c r="E116" s="84"/>
      <c r="F116" s="84"/>
      <c r="G116" s="84"/>
      <c r="H116" s="85"/>
      <c r="I116" s="85"/>
      <c r="J116" s="85"/>
      <c r="K116" s="85"/>
    </row>
    <row r="117" spans="2:11" ht="57.6" x14ac:dyDescent="0.3">
      <c r="B117" s="83"/>
      <c r="C117" s="83"/>
      <c r="D117" s="84"/>
      <c r="E117" s="84"/>
      <c r="F117" s="84"/>
      <c r="G117" s="84"/>
      <c r="H117" s="53" t="s">
        <v>29</v>
      </c>
      <c r="I117" s="53" t="s">
        <v>30</v>
      </c>
      <c r="J117" s="54" t="s">
        <v>54</v>
      </c>
      <c r="K117" s="54" t="s">
        <v>31</v>
      </c>
    </row>
    <row r="118" spans="2:11" ht="24.9" customHeight="1" x14ac:dyDescent="0.3">
      <c r="B118" s="48">
        <v>1</v>
      </c>
      <c r="C118" s="77" t="str">
        <f>Services!B$4</f>
        <v>Streaming video, including interactive online TV, live-stream trainings, individualized live video instructions etc.</v>
      </c>
      <c r="D118" s="78"/>
      <c r="E118" s="78"/>
      <c r="F118" s="78"/>
      <c r="G118" s="79"/>
      <c r="H118" s="42">
        <v>250</v>
      </c>
      <c r="I118" s="43">
        <v>6</v>
      </c>
      <c r="J118" s="51">
        <v>0.63</v>
      </c>
      <c r="K118" s="51">
        <v>412.5</v>
      </c>
    </row>
    <row r="119" spans="2:11" ht="24.9" customHeight="1" x14ac:dyDescent="0.3">
      <c r="B119" s="48">
        <v>2</v>
      </c>
      <c r="C119" s="77" t="str">
        <f>Services!B$5</f>
        <v>Services for group &amp; individual communication, including webinars, conferences, meetings, tutoring, etc.</v>
      </c>
      <c r="D119" s="78"/>
      <c r="E119" s="78"/>
      <c r="F119" s="78"/>
      <c r="G119" s="79"/>
      <c r="H119" s="42">
        <v>100</v>
      </c>
      <c r="I119" s="43">
        <v>2.25</v>
      </c>
      <c r="J119" s="51">
        <v>6.0000000000000001E-3</v>
      </c>
      <c r="K119" s="51">
        <v>202.5</v>
      </c>
    </row>
    <row r="120" spans="2:11" ht="24.9" customHeight="1" x14ac:dyDescent="0.3">
      <c r="B120" s="48">
        <v>3</v>
      </c>
      <c r="C120" s="77" t="str">
        <f>Services!B$6</f>
        <v>Online virtual simulators, educational online games, etc.</v>
      </c>
      <c r="D120" s="78"/>
      <c r="E120" s="78"/>
      <c r="F120" s="78"/>
      <c r="G120" s="79"/>
      <c r="H120" s="42">
        <v>100</v>
      </c>
      <c r="I120" s="43">
        <v>1.125</v>
      </c>
      <c r="J120" s="51">
        <v>1.2E-2</v>
      </c>
      <c r="K120" s="51">
        <v>150</v>
      </c>
    </row>
    <row r="121" spans="2:11" ht="24.9" customHeight="1" x14ac:dyDescent="0.3">
      <c r="B121" s="48">
        <v>4</v>
      </c>
      <c r="C121" s="77" t="str">
        <f>Services!B$7</f>
        <v>Services for group work (virtual boards, online graphics, etc.)</v>
      </c>
      <c r="D121" s="78"/>
      <c r="E121" s="78"/>
      <c r="F121" s="78"/>
      <c r="G121" s="79"/>
      <c r="H121" s="42">
        <v>100</v>
      </c>
      <c r="I121" s="43">
        <v>2.25</v>
      </c>
      <c r="J121" s="51">
        <v>7.4999999999999997E-3</v>
      </c>
      <c r="K121" s="51">
        <v>75</v>
      </c>
    </row>
    <row r="122" spans="2:11" ht="24.9" customHeight="1" x14ac:dyDescent="0.3">
      <c r="B122" s="48">
        <v>5</v>
      </c>
      <c r="C122" s="77" t="str">
        <f>Services!B$8</f>
        <v>Other Real Time Traffic Services</v>
      </c>
      <c r="D122" s="78"/>
      <c r="E122" s="78"/>
      <c r="F122" s="78"/>
      <c r="G122" s="79"/>
      <c r="H122" s="42">
        <v>250</v>
      </c>
      <c r="I122" s="43">
        <v>1.125</v>
      </c>
      <c r="J122" s="51">
        <v>7.4999999999999997E-3</v>
      </c>
      <c r="K122" s="51">
        <v>150</v>
      </c>
    </row>
    <row r="123" spans="2:11" ht="24.9" customHeight="1" x14ac:dyDescent="0.3">
      <c r="B123" s="48">
        <v>6</v>
      </c>
      <c r="C123" s="77" t="str">
        <f>Services!B$9</f>
        <v>Recorded educational clips, video instructions, trainings, Individualized recorded video, multimedia courses etc.</v>
      </c>
      <c r="D123" s="78"/>
      <c r="E123" s="78"/>
      <c r="F123" s="78"/>
      <c r="G123" s="79"/>
      <c r="H123" s="42">
        <v>250</v>
      </c>
      <c r="I123" s="43">
        <v>1.6875</v>
      </c>
      <c r="J123" s="51">
        <v>3.7499999999999999E-3</v>
      </c>
      <c r="K123" s="51">
        <v>375</v>
      </c>
    </row>
    <row r="124" spans="2:11" ht="24.9" customHeight="1" x14ac:dyDescent="0.3">
      <c r="B124" s="48">
        <v>7</v>
      </c>
      <c r="C124" s="77" t="str">
        <f>Services!B$10</f>
        <v>Learning management systems, including libraries, repositories, databases, educational web-services, services for storing information etc.</v>
      </c>
      <c r="D124" s="78"/>
      <c r="E124" s="78"/>
      <c r="F124" s="78"/>
      <c r="G124" s="79"/>
      <c r="H124" s="42">
        <v>375</v>
      </c>
      <c r="I124" s="43">
        <v>1.125</v>
      </c>
      <c r="J124" s="51">
        <v>1</v>
      </c>
      <c r="K124" s="51">
        <v>100</v>
      </c>
    </row>
    <row r="125" spans="2:11" ht="24.9" customHeight="1" x14ac:dyDescent="0.3">
      <c r="B125" s="48">
        <v>8</v>
      </c>
      <c r="C125" s="77" t="str">
        <f>Services!B$11</f>
        <v>Web-serfing, Search engines, bookmarking services, etc. E-mail, FTP and other classic services</v>
      </c>
      <c r="D125" s="78"/>
      <c r="E125" s="78"/>
      <c r="F125" s="78"/>
      <c r="G125" s="79"/>
      <c r="H125" s="42">
        <v>375</v>
      </c>
      <c r="I125" s="43">
        <v>1.125</v>
      </c>
      <c r="J125" s="51">
        <v>0.51</v>
      </c>
      <c r="K125" s="51">
        <v>7.5</v>
      </c>
    </row>
    <row r="126" spans="2:11" ht="24.9" customHeight="1" x14ac:dyDescent="0.3">
      <c r="B126" s="48">
        <v>9</v>
      </c>
      <c r="C126" s="77" t="str">
        <f>Services!B$12</f>
        <v>Discussion boards, Social media &amp; networks, forums etc.</v>
      </c>
      <c r="D126" s="78"/>
      <c r="E126" s="78"/>
      <c r="F126" s="78"/>
      <c r="G126" s="79"/>
      <c r="H126" s="42">
        <v>375</v>
      </c>
      <c r="I126" s="43">
        <v>1.125</v>
      </c>
      <c r="J126" s="51">
        <v>0.26249999999999996</v>
      </c>
      <c r="K126" s="51">
        <v>2.25</v>
      </c>
    </row>
    <row r="127" spans="2:11" ht="24.9" customHeight="1" x14ac:dyDescent="0.3">
      <c r="B127" s="48">
        <v>10</v>
      </c>
      <c r="C127" s="77" t="str">
        <f>Services!B$13</f>
        <v>Calendars and organizers, including lessons planning. Government e-portal access. Reporting Services etc.</v>
      </c>
      <c r="D127" s="78"/>
      <c r="E127" s="78"/>
      <c r="F127" s="78"/>
      <c r="G127" s="79"/>
      <c r="H127" s="42">
        <v>375</v>
      </c>
      <c r="I127" s="43">
        <v>0.5625</v>
      </c>
      <c r="J127" s="51">
        <v>0.30000000000000004</v>
      </c>
      <c r="K127" s="51">
        <v>2.25</v>
      </c>
    </row>
    <row r="128" spans="2:11" ht="24.9" customHeight="1" x14ac:dyDescent="0.3">
      <c r="B128" s="48">
        <v>11</v>
      </c>
      <c r="C128" s="77" t="str">
        <f>Services!B$14</f>
        <v>Other Non-Real Time Traffic Services</v>
      </c>
      <c r="D128" s="78"/>
      <c r="E128" s="78"/>
      <c r="F128" s="78"/>
      <c r="G128" s="79"/>
      <c r="H128" s="42">
        <v>375</v>
      </c>
      <c r="I128" s="43">
        <v>0.5625</v>
      </c>
      <c r="J128" s="51">
        <v>0.30000000000000004</v>
      </c>
      <c r="K128" s="51">
        <v>2.25</v>
      </c>
    </row>
    <row r="129" spans="2:11" ht="24.9" customHeight="1" x14ac:dyDescent="0.3">
      <c r="B129" s="48">
        <v>12</v>
      </c>
      <c r="C129" s="77" t="str">
        <f>Services!B$15</f>
        <v>User Defined Service #1</v>
      </c>
      <c r="D129" s="78"/>
      <c r="E129" s="78"/>
      <c r="F129" s="78"/>
      <c r="G129" s="79"/>
      <c r="H129" s="42">
        <v>0</v>
      </c>
      <c r="I129" s="43">
        <v>0</v>
      </c>
      <c r="J129" s="51">
        <v>0</v>
      </c>
      <c r="K129" s="51">
        <v>0</v>
      </c>
    </row>
    <row r="130" spans="2:11" ht="24.9" customHeight="1" x14ac:dyDescent="0.3">
      <c r="B130" s="48">
        <v>13</v>
      </c>
      <c r="C130" s="77" t="str">
        <f>Services!B$16</f>
        <v>User Defined Service #2</v>
      </c>
      <c r="D130" s="78"/>
      <c r="E130" s="78"/>
      <c r="F130" s="78"/>
      <c r="G130" s="79"/>
      <c r="H130" s="42">
        <v>0</v>
      </c>
      <c r="I130" s="43">
        <v>0</v>
      </c>
      <c r="J130" s="51">
        <v>0</v>
      </c>
      <c r="K130" s="51">
        <v>0</v>
      </c>
    </row>
    <row r="131" spans="2:11" ht="24.9" customHeight="1" x14ac:dyDescent="0.3"/>
    <row r="132" spans="2:11" ht="24.9" customHeight="1" x14ac:dyDescent="0.3"/>
    <row r="133" spans="2:11" ht="24.9" customHeight="1" x14ac:dyDescent="0.3"/>
    <row r="134" spans="2:11" ht="24.9" customHeight="1" x14ac:dyDescent="0.3"/>
    <row r="135" spans="2:11" ht="24.9" customHeight="1" x14ac:dyDescent="0.3"/>
    <row r="136" spans="2:11" ht="24.9" customHeight="1" x14ac:dyDescent="0.3"/>
    <row r="137" spans="2:11" ht="24.9" customHeight="1" x14ac:dyDescent="0.3"/>
    <row r="138" spans="2:11" ht="24.9" customHeight="1" x14ac:dyDescent="0.3"/>
    <row r="139" spans="2:11" ht="24.9" customHeight="1" x14ac:dyDescent="0.3">
      <c r="B139" s="80" t="s">
        <v>85</v>
      </c>
      <c r="C139" s="80"/>
      <c r="D139" s="81" t="str">
        <f>Users!B8</f>
        <v>High school’s students' mobile devices</v>
      </c>
      <c r="E139" s="82"/>
      <c r="F139" s="82"/>
      <c r="G139" s="82"/>
      <c r="H139" s="82"/>
      <c r="I139" s="82"/>
      <c r="J139" s="82"/>
      <c r="K139" s="82"/>
    </row>
    <row r="140" spans="2:11" ht="24.9" customHeight="1" x14ac:dyDescent="0.3">
      <c r="B140" s="52"/>
      <c r="C140" s="52"/>
    </row>
    <row r="141" spans="2:11" ht="24.9" customHeight="1" x14ac:dyDescent="0.3">
      <c r="B141" s="83" t="s">
        <v>3</v>
      </c>
      <c r="C141" s="83" t="s">
        <v>28</v>
      </c>
      <c r="D141" s="84"/>
      <c r="E141" s="84"/>
      <c r="F141" s="84"/>
      <c r="G141" s="84"/>
      <c r="H141" s="85" t="s">
        <v>48</v>
      </c>
      <c r="I141" s="85"/>
      <c r="J141" s="85"/>
      <c r="K141" s="85"/>
    </row>
    <row r="142" spans="2:11" ht="24.9" customHeight="1" x14ac:dyDescent="0.3">
      <c r="B142" s="83"/>
      <c r="C142" s="83"/>
      <c r="D142" s="84"/>
      <c r="E142" s="84"/>
      <c r="F142" s="84"/>
      <c r="G142" s="84"/>
      <c r="H142" s="85"/>
      <c r="I142" s="85"/>
      <c r="J142" s="85"/>
      <c r="K142" s="85"/>
    </row>
    <row r="143" spans="2:11" ht="57.6" x14ac:dyDescent="0.3">
      <c r="B143" s="83"/>
      <c r="C143" s="83"/>
      <c r="D143" s="84"/>
      <c r="E143" s="84"/>
      <c r="F143" s="84"/>
      <c r="G143" s="84"/>
      <c r="H143" s="53" t="s">
        <v>29</v>
      </c>
      <c r="I143" s="53" t="s">
        <v>30</v>
      </c>
      <c r="J143" s="54" t="s">
        <v>54</v>
      </c>
      <c r="K143" s="54" t="s">
        <v>31</v>
      </c>
    </row>
    <row r="144" spans="2:11" ht="24.9" customHeight="1" x14ac:dyDescent="0.3">
      <c r="B144" s="48">
        <v>1</v>
      </c>
      <c r="C144" s="77" t="str">
        <f>Services!B$4</f>
        <v>Streaming video, including interactive online TV, live-stream trainings, individualized live video instructions etc.</v>
      </c>
      <c r="D144" s="78"/>
      <c r="E144" s="78"/>
      <c r="F144" s="78"/>
      <c r="G144" s="79"/>
      <c r="H144" s="42">
        <v>250</v>
      </c>
      <c r="I144" s="43">
        <v>6</v>
      </c>
      <c r="J144" s="51">
        <v>0.63</v>
      </c>
      <c r="K144" s="51">
        <v>412.5</v>
      </c>
    </row>
    <row r="145" spans="2:11" ht="24.9" customHeight="1" x14ac:dyDescent="0.3">
      <c r="B145" s="48">
        <v>2</v>
      </c>
      <c r="C145" s="77" t="str">
        <f>Services!B$5</f>
        <v>Services for group &amp; individual communication, including webinars, conferences, meetings, tutoring, etc.</v>
      </c>
      <c r="D145" s="78"/>
      <c r="E145" s="78"/>
      <c r="F145" s="78"/>
      <c r="G145" s="79"/>
      <c r="H145" s="42">
        <v>100</v>
      </c>
      <c r="I145" s="43">
        <v>2.25</v>
      </c>
      <c r="J145" s="51">
        <v>6.0000000000000001E-3</v>
      </c>
      <c r="K145" s="51">
        <v>202.5</v>
      </c>
    </row>
    <row r="146" spans="2:11" ht="24.9" customHeight="1" x14ac:dyDescent="0.3">
      <c r="B146" s="48">
        <v>3</v>
      </c>
      <c r="C146" s="77" t="str">
        <f>Services!B$6</f>
        <v>Online virtual simulators, educational online games, etc.</v>
      </c>
      <c r="D146" s="78"/>
      <c r="E146" s="78"/>
      <c r="F146" s="78"/>
      <c r="G146" s="79"/>
      <c r="H146" s="42">
        <v>100</v>
      </c>
      <c r="I146" s="43">
        <v>1.125</v>
      </c>
      <c r="J146" s="51">
        <v>0</v>
      </c>
      <c r="K146" s="51">
        <v>0</v>
      </c>
    </row>
    <row r="147" spans="2:11" ht="24.9" customHeight="1" x14ac:dyDescent="0.3">
      <c r="B147" s="48">
        <v>4</v>
      </c>
      <c r="C147" s="77" t="str">
        <f>Services!B$7</f>
        <v>Services for group work (virtual boards, online graphics, etc.)</v>
      </c>
      <c r="D147" s="78"/>
      <c r="E147" s="78"/>
      <c r="F147" s="78"/>
      <c r="G147" s="79"/>
      <c r="H147" s="42">
        <v>100</v>
      </c>
      <c r="I147" s="43">
        <v>2.25</v>
      </c>
      <c r="J147" s="51">
        <v>7.4999999999999997E-3</v>
      </c>
      <c r="K147" s="51">
        <v>75</v>
      </c>
    </row>
    <row r="148" spans="2:11" ht="24.9" customHeight="1" x14ac:dyDescent="0.3">
      <c r="B148" s="48">
        <v>5</v>
      </c>
      <c r="C148" s="77" t="str">
        <f>Services!B$8</f>
        <v>Other Real Time Traffic Services</v>
      </c>
      <c r="D148" s="78"/>
      <c r="E148" s="78"/>
      <c r="F148" s="78"/>
      <c r="G148" s="79"/>
      <c r="H148" s="42">
        <v>250</v>
      </c>
      <c r="I148" s="43">
        <v>1.125</v>
      </c>
      <c r="J148" s="51">
        <v>0</v>
      </c>
      <c r="K148" s="51">
        <v>0</v>
      </c>
    </row>
    <row r="149" spans="2:11" ht="24.9" customHeight="1" x14ac:dyDescent="0.3">
      <c r="B149" s="48">
        <v>6</v>
      </c>
      <c r="C149" s="77" t="str">
        <f>Services!B$9</f>
        <v>Recorded educational clips, video instructions, trainings, Individualized recorded video, multimedia courses etc.</v>
      </c>
      <c r="D149" s="78"/>
      <c r="E149" s="78"/>
      <c r="F149" s="78"/>
      <c r="G149" s="79"/>
      <c r="H149" s="42">
        <v>250</v>
      </c>
      <c r="I149" s="43">
        <v>1.6875</v>
      </c>
      <c r="J149" s="51">
        <v>3.7499999999999999E-3</v>
      </c>
      <c r="K149" s="51">
        <v>375</v>
      </c>
    </row>
    <row r="150" spans="2:11" ht="24.9" customHeight="1" x14ac:dyDescent="0.3">
      <c r="B150" s="48">
        <v>7</v>
      </c>
      <c r="C150" s="77" t="str">
        <f>Services!B$10</f>
        <v>Learning management systems, including libraries, repositories, databases, educational web-services, services for storing information etc.</v>
      </c>
      <c r="D150" s="78"/>
      <c r="E150" s="78"/>
      <c r="F150" s="78"/>
      <c r="G150" s="79"/>
      <c r="H150" s="42">
        <v>375</v>
      </c>
      <c r="I150" s="43">
        <v>1.125</v>
      </c>
      <c r="J150" s="51">
        <v>0</v>
      </c>
      <c r="K150" s="51">
        <v>0</v>
      </c>
    </row>
    <row r="151" spans="2:11" ht="24.9" customHeight="1" x14ac:dyDescent="0.3">
      <c r="B151" s="48">
        <v>8</v>
      </c>
      <c r="C151" s="77" t="str">
        <f>Services!B$11</f>
        <v>Web-serfing, Search engines, bookmarking services, etc. E-mail, FTP and other classic services</v>
      </c>
      <c r="D151" s="78"/>
      <c r="E151" s="78"/>
      <c r="F151" s="78"/>
      <c r="G151" s="79"/>
      <c r="H151" s="42">
        <v>375</v>
      </c>
      <c r="I151" s="43">
        <v>1.125</v>
      </c>
      <c r="J151" s="51">
        <v>0.51</v>
      </c>
      <c r="K151" s="51">
        <v>7.5</v>
      </c>
    </row>
    <row r="152" spans="2:11" ht="24.9" customHeight="1" x14ac:dyDescent="0.3">
      <c r="B152" s="48">
        <v>9</v>
      </c>
      <c r="C152" s="77" t="str">
        <f>Services!B$12</f>
        <v>Discussion boards, Social media &amp; networks, forums etc.</v>
      </c>
      <c r="D152" s="78"/>
      <c r="E152" s="78"/>
      <c r="F152" s="78"/>
      <c r="G152" s="79"/>
      <c r="H152" s="42">
        <v>375</v>
      </c>
      <c r="I152" s="43">
        <v>1.125</v>
      </c>
      <c r="J152" s="51">
        <v>0</v>
      </c>
      <c r="K152" s="51">
        <v>0</v>
      </c>
    </row>
    <row r="153" spans="2:11" ht="24.9" customHeight="1" x14ac:dyDescent="0.3">
      <c r="B153" s="48">
        <v>10</v>
      </c>
      <c r="C153" s="77" t="str">
        <f>Services!B$13</f>
        <v>Calendars and organizers, including lessons planning. Government e-portal access. Reporting Services etc.</v>
      </c>
      <c r="D153" s="78"/>
      <c r="E153" s="78"/>
      <c r="F153" s="78"/>
      <c r="G153" s="79"/>
      <c r="H153" s="42">
        <v>375</v>
      </c>
      <c r="I153" s="43">
        <v>0.5625</v>
      </c>
      <c r="J153" s="51">
        <v>0</v>
      </c>
      <c r="K153" s="51">
        <v>0</v>
      </c>
    </row>
    <row r="154" spans="2:11" ht="24.9" customHeight="1" x14ac:dyDescent="0.3">
      <c r="B154" s="48">
        <v>11</v>
      </c>
      <c r="C154" s="77" t="str">
        <f>Services!B$14</f>
        <v>Other Non-Real Time Traffic Services</v>
      </c>
      <c r="D154" s="78"/>
      <c r="E154" s="78"/>
      <c r="F154" s="78"/>
      <c r="G154" s="79"/>
      <c r="H154" s="42">
        <v>375</v>
      </c>
      <c r="I154" s="43">
        <v>0.5625</v>
      </c>
      <c r="J154" s="51">
        <v>0</v>
      </c>
      <c r="K154" s="51">
        <v>0</v>
      </c>
    </row>
    <row r="155" spans="2:11" ht="24.9" customHeight="1" x14ac:dyDescent="0.3">
      <c r="B155" s="48">
        <v>12</v>
      </c>
      <c r="C155" s="77" t="str">
        <f>Services!B$15</f>
        <v>User Defined Service #1</v>
      </c>
      <c r="D155" s="78"/>
      <c r="E155" s="78"/>
      <c r="F155" s="78"/>
      <c r="G155" s="79"/>
      <c r="H155" s="42">
        <v>0</v>
      </c>
      <c r="I155" s="43">
        <v>0</v>
      </c>
      <c r="J155" s="51">
        <v>0</v>
      </c>
      <c r="K155" s="51">
        <v>0</v>
      </c>
    </row>
    <row r="156" spans="2:11" ht="24.9" customHeight="1" x14ac:dyDescent="0.3">
      <c r="B156" s="48">
        <v>13</v>
      </c>
      <c r="C156" s="77" t="str">
        <f>Services!B$16</f>
        <v>User Defined Service #2</v>
      </c>
      <c r="D156" s="78"/>
      <c r="E156" s="78"/>
      <c r="F156" s="78"/>
      <c r="G156" s="79"/>
      <c r="H156" s="42">
        <v>0</v>
      </c>
      <c r="I156" s="43">
        <v>0</v>
      </c>
      <c r="J156" s="51">
        <v>0</v>
      </c>
      <c r="K156" s="51">
        <v>0</v>
      </c>
    </row>
    <row r="157" spans="2:11" ht="24.9" customHeight="1" x14ac:dyDescent="0.3"/>
    <row r="158" spans="2:11" ht="24.9" customHeight="1" x14ac:dyDescent="0.3"/>
    <row r="159" spans="2:11" ht="24.9" customHeight="1" x14ac:dyDescent="0.3"/>
    <row r="160" spans="2:11" ht="24.9" customHeight="1" x14ac:dyDescent="0.3"/>
    <row r="161" spans="2:11" ht="24.9" customHeight="1" x14ac:dyDescent="0.3"/>
    <row r="162" spans="2:11" ht="24.9" customHeight="1" x14ac:dyDescent="0.3"/>
    <row r="163" spans="2:11" ht="24.9" customHeight="1" x14ac:dyDescent="0.3"/>
    <row r="164" spans="2:11" ht="24.9" customHeight="1" x14ac:dyDescent="0.3"/>
    <row r="165" spans="2:11" ht="24.9" customHeight="1" x14ac:dyDescent="0.3">
      <c r="B165" s="80" t="s">
        <v>85</v>
      </c>
      <c r="C165" s="80"/>
      <c r="D165" s="81" t="str">
        <f>Users!B9</f>
        <v>Teaching staff' workstations (or laptops) in the teacher's offices or in the classrooms</v>
      </c>
      <c r="E165" s="82"/>
      <c r="F165" s="82"/>
      <c r="G165" s="82"/>
      <c r="H165" s="82"/>
      <c r="I165" s="82"/>
      <c r="J165" s="82"/>
      <c r="K165" s="82"/>
    </row>
    <row r="166" spans="2:11" ht="24.9" customHeight="1" x14ac:dyDescent="0.3">
      <c r="B166" s="52"/>
      <c r="C166" s="52"/>
    </row>
    <row r="167" spans="2:11" ht="24.9" customHeight="1" x14ac:dyDescent="0.3">
      <c r="B167" s="83" t="s">
        <v>3</v>
      </c>
      <c r="C167" s="83" t="s">
        <v>28</v>
      </c>
      <c r="D167" s="84"/>
      <c r="E167" s="84"/>
      <c r="F167" s="84"/>
      <c r="G167" s="84"/>
      <c r="H167" s="85" t="s">
        <v>48</v>
      </c>
      <c r="I167" s="85"/>
      <c r="J167" s="85"/>
      <c r="K167" s="85"/>
    </row>
    <row r="168" spans="2:11" ht="24.9" customHeight="1" x14ac:dyDescent="0.3">
      <c r="B168" s="83"/>
      <c r="C168" s="83"/>
      <c r="D168" s="84"/>
      <c r="E168" s="84"/>
      <c r="F168" s="84"/>
      <c r="G168" s="84"/>
      <c r="H168" s="85"/>
      <c r="I168" s="85"/>
      <c r="J168" s="85"/>
      <c r="K168" s="85"/>
    </row>
    <row r="169" spans="2:11" ht="57.6" x14ac:dyDescent="0.3">
      <c r="B169" s="83"/>
      <c r="C169" s="83"/>
      <c r="D169" s="84"/>
      <c r="E169" s="84"/>
      <c r="F169" s="84"/>
      <c r="G169" s="84"/>
      <c r="H169" s="53" t="s">
        <v>29</v>
      </c>
      <c r="I169" s="53" t="s">
        <v>30</v>
      </c>
      <c r="J169" s="54" t="s">
        <v>54</v>
      </c>
      <c r="K169" s="54" t="s">
        <v>31</v>
      </c>
    </row>
    <row r="170" spans="2:11" ht="24.9" customHeight="1" x14ac:dyDescent="0.3">
      <c r="B170" s="48">
        <v>1</v>
      </c>
      <c r="C170" s="77" t="str">
        <f>Services!B$4</f>
        <v>Streaming video, including interactive online TV, live-stream trainings, individualized live video instructions etc.</v>
      </c>
      <c r="D170" s="78"/>
      <c r="E170" s="78"/>
      <c r="F170" s="78"/>
      <c r="G170" s="79"/>
      <c r="H170" s="42">
        <v>250</v>
      </c>
      <c r="I170" s="43">
        <v>6</v>
      </c>
      <c r="J170" s="51">
        <v>0.63</v>
      </c>
      <c r="K170" s="51">
        <v>412.5</v>
      </c>
    </row>
    <row r="171" spans="2:11" ht="24.9" customHeight="1" x14ac:dyDescent="0.3">
      <c r="B171" s="48">
        <v>2</v>
      </c>
      <c r="C171" s="77" t="str">
        <f>Services!B$5</f>
        <v>Services for group &amp; individual communication, including webinars, conferences, meetings, tutoring, etc.</v>
      </c>
      <c r="D171" s="78"/>
      <c r="E171" s="78"/>
      <c r="F171" s="78"/>
      <c r="G171" s="79"/>
      <c r="H171" s="42">
        <v>100</v>
      </c>
      <c r="I171" s="43">
        <v>2.25</v>
      </c>
      <c r="J171" s="51">
        <v>6.0000000000000001E-3</v>
      </c>
      <c r="K171" s="51">
        <v>202.5</v>
      </c>
    </row>
    <row r="172" spans="2:11" ht="24.9" customHeight="1" x14ac:dyDescent="0.3">
      <c r="B172" s="48">
        <v>3</v>
      </c>
      <c r="C172" s="77" t="str">
        <f>Services!B$6</f>
        <v>Online virtual simulators, educational online games, etc.</v>
      </c>
      <c r="D172" s="78"/>
      <c r="E172" s="78"/>
      <c r="F172" s="78"/>
      <c r="G172" s="79"/>
      <c r="H172" s="42">
        <v>100</v>
      </c>
      <c r="I172" s="43">
        <v>1.125</v>
      </c>
      <c r="J172" s="51">
        <v>1.2E-2</v>
      </c>
      <c r="K172" s="51">
        <v>150</v>
      </c>
    </row>
    <row r="173" spans="2:11" ht="24.9" customHeight="1" x14ac:dyDescent="0.3">
      <c r="B173" s="48">
        <v>4</v>
      </c>
      <c r="C173" s="77" t="str">
        <f>Services!B$7</f>
        <v>Services for group work (virtual boards, online graphics, etc.)</v>
      </c>
      <c r="D173" s="78"/>
      <c r="E173" s="78"/>
      <c r="F173" s="78"/>
      <c r="G173" s="79"/>
      <c r="H173" s="42">
        <v>100</v>
      </c>
      <c r="I173" s="43">
        <v>2.25</v>
      </c>
      <c r="J173" s="51">
        <v>7.4999999999999997E-3</v>
      </c>
      <c r="K173" s="51">
        <v>75</v>
      </c>
    </row>
    <row r="174" spans="2:11" ht="24.9" customHeight="1" x14ac:dyDescent="0.3">
      <c r="B174" s="48">
        <v>5</v>
      </c>
      <c r="C174" s="77" t="str">
        <f>Services!B$8</f>
        <v>Other Real Time Traffic Services</v>
      </c>
      <c r="D174" s="78"/>
      <c r="E174" s="78"/>
      <c r="F174" s="78"/>
      <c r="G174" s="79"/>
      <c r="H174" s="42">
        <v>250</v>
      </c>
      <c r="I174" s="43">
        <v>1.125</v>
      </c>
      <c r="J174" s="51">
        <v>7.4999999999999997E-3</v>
      </c>
      <c r="K174" s="51">
        <v>150</v>
      </c>
    </row>
    <row r="175" spans="2:11" ht="24.9" customHeight="1" x14ac:dyDescent="0.3">
      <c r="B175" s="48">
        <v>6</v>
      </c>
      <c r="C175" s="77" t="str">
        <f>Services!B$9</f>
        <v>Recorded educational clips, video instructions, trainings, Individualized recorded video, multimedia courses etc.</v>
      </c>
      <c r="D175" s="78"/>
      <c r="E175" s="78"/>
      <c r="F175" s="78"/>
      <c r="G175" s="79"/>
      <c r="H175" s="42">
        <v>250</v>
      </c>
      <c r="I175" s="43">
        <v>1.6875</v>
      </c>
      <c r="J175" s="51">
        <v>3.7499999999999999E-3</v>
      </c>
      <c r="K175" s="51">
        <v>375</v>
      </c>
    </row>
    <row r="176" spans="2:11" ht="24.9" customHeight="1" x14ac:dyDescent="0.3">
      <c r="B176" s="48">
        <v>7</v>
      </c>
      <c r="C176" s="77" t="str">
        <f>Services!B$10</f>
        <v>Learning management systems, including libraries, repositories, databases, educational web-services, services for storing information etc.</v>
      </c>
      <c r="D176" s="78"/>
      <c r="E176" s="78"/>
      <c r="F176" s="78"/>
      <c r="G176" s="79"/>
      <c r="H176" s="42">
        <v>375</v>
      </c>
      <c r="I176" s="43">
        <v>1.125</v>
      </c>
      <c r="J176" s="51">
        <v>1</v>
      </c>
      <c r="K176" s="51">
        <v>100</v>
      </c>
    </row>
    <row r="177" spans="2:11" ht="24.9" customHeight="1" x14ac:dyDescent="0.3">
      <c r="B177" s="48">
        <v>8</v>
      </c>
      <c r="C177" s="77" t="str">
        <f>Services!B$11</f>
        <v>Web-serfing, Search engines, bookmarking services, etc. E-mail, FTP and other classic services</v>
      </c>
      <c r="D177" s="78"/>
      <c r="E177" s="78"/>
      <c r="F177" s="78"/>
      <c r="G177" s="79"/>
      <c r="H177" s="42">
        <v>375</v>
      </c>
      <c r="I177" s="43">
        <v>1.125</v>
      </c>
      <c r="J177" s="51">
        <v>0.51</v>
      </c>
      <c r="K177" s="51">
        <v>7.5</v>
      </c>
    </row>
    <row r="178" spans="2:11" ht="24.9" customHeight="1" x14ac:dyDescent="0.3">
      <c r="B178" s="48">
        <v>9</v>
      </c>
      <c r="C178" s="77" t="str">
        <f>Services!B$12</f>
        <v>Discussion boards, Social media &amp; networks, forums etc.</v>
      </c>
      <c r="D178" s="78"/>
      <c r="E178" s="78"/>
      <c r="F178" s="78"/>
      <c r="G178" s="79"/>
      <c r="H178" s="42">
        <v>375</v>
      </c>
      <c r="I178" s="43">
        <v>1.125</v>
      </c>
      <c r="J178" s="51">
        <v>0.26249999999999996</v>
      </c>
      <c r="K178" s="51">
        <v>2.25</v>
      </c>
    </row>
    <row r="179" spans="2:11" ht="24.9" customHeight="1" x14ac:dyDescent="0.3">
      <c r="B179" s="48">
        <v>10</v>
      </c>
      <c r="C179" s="77" t="str">
        <f>Services!B$13</f>
        <v>Calendars and organizers, including lessons planning. Government e-portal access. Reporting Services etc.</v>
      </c>
      <c r="D179" s="78"/>
      <c r="E179" s="78"/>
      <c r="F179" s="78"/>
      <c r="G179" s="79"/>
      <c r="H179" s="42">
        <v>375</v>
      </c>
      <c r="I179" s="43">
        <v>0.5625</v>
      </c>
      <c r="J179" s="51">
        <v>0.30000000000000004</v>
      </c>
      <c r="K179" s="51">
        <v>2.25</v>
      </c>
    </row>
    <row r="180" spans="2:11" ht="24.9" customHeight="1" x14ac:dyDescent="0.3">
      <c r="B180" s="48">
        <v>11</v>
      </c>
      <c r="C180" s="77" t="str">
        <f>Services!B$14</f>
        <v>Other Non-Real Time Traffic Services</v>
      </c>
      <c r="D180" s="78"/>
      <c r="E180" s="78"/>
      <c r="F180" s="78"/>
      <c r="G180" s="79"/>
      <c r="H180" s="42">
        <v>375</v>
      </c>
      <c r="I180" s="43">
        <v>0.5625</v>
      </c>
      <c r="J180" s="51">
        <v>0.30000000000000004</v>
      </c>
      <c r="K180" s="51">
        <v>2.25</v>
      </c>
    </row>
    <row r="181" spans="2:11" ht="24.9" customHeight="1" x14ac:dyDescent="0.3">
      <c r="B181" s="48">
        <v>12</v>
      </c>
      <c r="C181" s="77" t="str">
        <f>Services!B$15</f>
        <v>User Defined Service #1</v>
      </c>
      <c r="D181" s="78"/>
      <c r="E181" s="78"/>
      <c r="F181" s="78"/>
      <c r="G181" s="79"/>
      <c r="H181" s="42">
        <v>0</v>
      </c>
      <c r="I181" s="43">
        <v>0</v>
      </c>
      <c r="J181" s="51">
        <v>0</v>
      </c>
      <c r="K181" s="51">
        <v>0</v>
      </c>
    </row>
    <row r="182" spans="2:11" ht="24.9" customHeight="1" x14ac:dyDescent="0.3">
      <c r="B182" s="48">
        <v>13</v>
      </c>
      <c r="C182" s="77" t="str">
        <f>Services!B$16</f>
        <v>User Defined Service #2</v>
      </c>
      <c r="D182" s="78"/>
      <c r="E182" s="78"/>
      <c r="F182" s="78"/>
      <c r="G182" s="79"/>
      <c r="H182" s="42">
        <v>0</v>
      </c>
      <c r="I182" s="43">
        <v>0</v>
      </c>
      <c r="J182" s="51">
        <v>0</v>
      </c>
      <c r="K182" s="51">
        <v>0</v>
      </c>
    </row>
    <row r="183" spans="2:11" ht="24.9" customHeight="1" x14ac:dyDescent="0.3"/>
    <row r="184" spans="2:11" ht="24.9" customHeight="1" x14ac:dyDescent="0.3"/>
    <row r="185" spans="2:11" ht="24.9" customHeight="1" x14ac:dyDescent="0.3"/>
    <row r="186" spans="2:11" ht="24.9" customHeight="1" x14ac:dyDescent="0.3"/>
    <row r="187" spans="2:11" ht="24.9" customHeight="1" x14ac:dyDescent="0.3"/>
    <row r="188" spans="2:11" ht="24.9" customHeight="1" x14ac:dyDescent="0.3"/>
    <row r="189" spans="2:11" ht="24.9" customHeight="1" x14ac:dyDescent="0.3"/>
    <row r="190" spans="2:11" ht="24.9" customHeight="1" x14ac:dyDescent="0.3"/>
    <row r="191" spans="2:11" ht="24.9" customHeight="1" x14ac:dyDescent="0.3">
      <c r="B191" s="80" t="s">
        <v>85</v>
      </c>
      <c r="C191" s="80"/>
      <c r="D191" s="81" t="str">
        <f>Users!B10</f>
        <v>Teaching staff' mobile devices</v>
      </c>
      <c r="E191" s="82"/>
      <c r="F191" s="82"/>
      <c r="G191" s="82"/>
      <c r="H191" s="82"/>
      <c r="I191" s="82"/>
      <c r="J191" s="82"/>
      <c r="K191" s="82"/>
    </row>
    <row r="192" spans="2:11" ht="24.9" customHeight="1" x14ac:dyDescent="0.3">
      <c r="B192" s="52"/>
      <c r="C192" s="52"/>
    </row>
    <row r="193" spans="2:11" ht="24.9" customHeight="1" x14ac:dyDescent="0.3">
      <c r="B193" s="83" t="s">
        <v>3</v>
      </c>
      <c r="C193" s="83" t="s">
        <v>28</v>
      </c>
      <c r="D193" s="84"/>
      <c r="E193" s="84"/>
      <c r="F193" s="84"/>
      <c r="G193" s="84"/>
      <c r="H193" s="85" t="s">
        <v>48</v>
      </c>
      <c r="I193" s="85"/>
      <c r="J193" s="85"/>
      <c r="K193" s="85"/>
    </row>
    <row r="194" spans="2:11" ht="24.9" customHeight="1" x14ac:dyDescent="0.3">
      <c r="B194" s="83"/>
      <c r="C194" s="83"/>
      <c r="D194" s="84"/>
      <c r="E194" s="84"/>
      <c r="F194" s="84"/>
      <c r="G194" s="84"/>
      <c r="H194" s="85"/>
      <c r="I194" s="85"/>
      <c r="J194" s="85"/>
      <c r="K194" s="85"/>
    </row>
    <row r="195" spans="2:11" ht="57.6" x14ac:dyDescent="0.3">
      <c r="B195" s="83"/>
      <c r="C195" s="83"/>
      <c r="D195" s="84"/>
      <c r="E195" s="84"/>
      <c r="F195" s="84"/>
      <c r="G195" s="84"/>
      <c r="H195" s="53" t="s">
        <v>29</v>
      </c>
      <c r="I195" s="53" t="s">
        <v>30</v>
      </c>
      <c r="J195" s="54" t="s">
        <v>54</v>
      </c>
      <c r="K195" s="54" t="s">
        <v>31</v>
      </c>
    </row>
    <row r="196" spans="2:11" ht="24.9" customHeight="1" x14ac:dyDescent="0.3">
      <c r="B196" s="48">
        <v>1</v>
      </c>
      <c r="C196" s="77" t="str">
        <f>Services!B$4</f>
        <v>Streaming video, including interactive online TV, live-stream trainings, individualized live video instructions etc.</v>
      </c>
      <c r="D196" s="78"/>
      <c r="E196" s="78"/>
      <c r="F196" s="78"/>
      <c r="G196" s="79"/>
      <c r="H196" s="42">
        <v>250</v>
      </c>
      <c r="I196" s="43">
        <v>6</v>
      </c>
      <c r="J196" s="51">
        <v>0.63</v>
      </c>
      <c r="K196" s="51">
        <v>412.5</v>
      </c>
    </row>
    <row r="197" spans="2:11" ht="24.9" customHeight="1" x14ac:dyDescent="0.3">
      <c r="B197" s="48">
        <v>2</v>
      </c>
      <c r="C197" s="77" t="str">
        <f>Services!B$5</f>
        <v>Services for group &amp; individual communication, including webinars, conferences, meetings, tutoring, etc.</v>
      </c>
      <c r="D197" s="78"/>
      <c r="E197" s="78"/>
      <c r="F197" s="78"/>
      <c r="G197" s="79"/>
      <c r="H197" s="42">
        <v>100</v>
      </c>
      <c r="I197" s="43">
        <v>2.25</v>
      </c>
      <c r="J197" s="51">
        <v>6.0000000000000001E-3</v>
      </c>
      <c r="K197" s="51">
        <v>202.5</v>
      </c>
    </row>
    <row r="198" spans="2:11" ht="24.9" customHeight="1" x14ac:dyDescent="0.3">
      <c r="B198" s="48">
        <v>3</v>
      </c>
      <c r="C198" s="77" t="str">
        <f>Services!B$6</f>
        <v>Online virtual simulators, educational online games, etc.</v>
      </c>
      <c r="D198" s="78"/>
      <c r="E198" s="78"/>
      <c r="F198" s="78"/>
      <c r="G198" s="79"/>
      <c r="H198" s="42">
        <v>100</v>
      </c>
      <c r="I198" s="43">
        <v>1.125</v>
      </c>
      <c r="J198" s="51">
        <v>0</v>
      </c>
      <c r="K198" s="51">
        <v>0</v>
      </c>
    </row>
    <row r="199" spans="2:11" ht="24.9" customHeight="1" x14ac:dyDescent="0.3">
      <c r="B199" s="48">
        <v>4</v>
      </c>
      <c r="C199" s="77" t="str">
        <f>Services!B$7</f>
        <v>Services for group work (virtual boards, online graphics, etc.)</v>
      </c>
      <c r="D199" s="78"/>
      <c r="E199" s="78"/>
      <c r="F199" s="78"/>
      <c r="G199" s="79"/>
      <c r="H199" s="42">
        <v>100</v>
      </c>
      <c r="I199" s="43">
        <v>2.25</v>
      </c>
      <c r="J199" s="51">
        <v>7.4999999999999997E-3</v>
      </c>
      <c r="K199" s="51">
        <v>75</v>
      </c>
    </row>
    <row r="200" spans="2:11" ht="24.9" customHeight="1" x14ac:dyDescent="0.3">
      <c r="B200" s="48">
        <v>5</v>
      </c>
      <c r="C200" s="77" t="str">
        <f>Services!B$8</f>
        <v>Other Real Time Traffic Services</v>
      </c>
      <c r="D200" s="78"/>
      <c r="E200" s="78"/>
      <c r="F200" s="78"/>
      <c r="G200" s="79"/>
      <c r="H200" s="42">
        <v>250</v>
      </c>
      <c r="I200" s="43">
        <v>1.125</v>
      </c>
      <c r="J200" s="51">
        <v>0</v>
      </c>
      <c r="K200" s="51">
        <v>0</v>
      </c>
    </row>
    <row r="201" spans="2:11" ht="24.9" customHeight="1" x14ac:dyDescent="0.3">
      <c r="B201" s="48">
        <v>6</v>
      </c>
      <c r="C201" s="77" t="str">
        <f>Services!B$9</f>
        <v>Recorded educational clips, video instructions, trainings, Individualized recorded video, multimedia courses etc.</v>
      </c>
      <c r="D201" s="78"/>
      <c r="E201" s="78"/>
      <c r="F201" s="78"/>
      <c r="G201" s="79"/>
      <c r="H201" s="42">
        <v>250</v>
      </c>
      <c r="I201" s="43">
        <v>1.6875</v>
      </c>
      <c r="J201" s="51">
        <v>3.7499999999999999E-3</v>
      </c>
      <c r="K201" s="51">
        <v>375</v>
      </c>
    </row>
    <row r="202" spans="2:11" ht="24.9" customHeight="1" x14ac:dyDescent="0.3">
      <c r="B202" s="48">
        <v>7</v>
      </c>
      <c r="C202" s="77" t="str">
        <f>Services!B$10</f>
        <v>Learning management systems, including libraries, repositories, databases, educational web-services, services for storing information etc.</v>
      </c>
      <c r="D202" s="78"/>
      <c r="E202" s="78"/>
      <c r="F202" s="78"/>
      <c r="G202" s="79"/>
      <c r="H202" s="42">
        <v>375</v>
      </c>
      <c r="I202" s="43">
        <v>1.125</v>
      </c>
      <c r="J202" s="51">
        <v>0</v>
      </c>
      <c r="K202" s="51">
        <v>0</v>
      </c>
    </row>
    <row r="203" spans="2:11" ht="24.9" customHeight="1" x14ac:dyDescent="0.3">
      <c r="B203" s="48">
        <v>8</v>
      </c>
      <c r="C203" s="77" t="str">
        <f>Services!B$11</f>
        <v>Web-serfing, Search engines, bookmarking services, etc. E-mail, FTP and other classic services</v>
      </c>
      <c r="D203" s="78"/>
      <c r="E203" s="78"/>
      <c r="F203" s="78"/>
      <c r="G203" s="79"/>
      <c r="H203" s="42">
        <v>375</v>
      </c>
      <c r="I203" s="43">
        <v>1.125</v>
      </c>
      <c r="J203" s="51">
        <v>0.51</v>
      </c>
      <c r="K203" s="51">
        <v>7.5</v>
      </c>
    </row>
    <row r="204" spans="2:11" ht="24.9" customHeight="1" x14ac:dyDescent="0.3">
      <c r="B204" s="48">
        <v>9</v>
      </c>
      <c r="C204" s="77" t="str">
        <f>Services!B$12</f>
        <v>Discussion boards, Social media &amp; networks, forums etc.</v>
      </c>
      <c r="D204" s="78"/>
      <c r="E204" s="78"/>
      <c r="F204" s="78"/>
      <c r="G204" s="79"/>
      <c r="H204" s="42">
        <v>375</v>
      </c>
      <c r="I204" s="43">
        <v>1.125</v>
      </c>
      <c r="J204" s="51">
        <v>0</v>
      </c>
      <c r="K204" s="51">
        <v>0</v>
      </c>
    </row>
    <row r="205" spans="2:11" ht="24.9" customHeight="1" x14ac:dyDescent="0.3">
      <c r="B205" s="48">
        <v>10</v>
      </c>
      <c r="C205" s="77" t="str">
        <f>Services!B$13</f>
        <v>Calendars and organizers, including lessons planning. Government e-portal access. Reporting Services etc.</v>
      </c>
      <c r="D205" s="78"/>
      <c r="E205" s="78"/>
      <c r="F205" s="78"/>
      <c r="G205" s="79"/>
      <c r="H205" s="42">
        <v>375</v>
      </c>
      <c r="I205" s="43">
        <v>0.5625</v>
      </c>
      <c r="J205" s="51">
        <v>0.30000000000000004</v>
      </c>
      <c r="K205" s="51">
        <v>2.25</v>
      </c>
    </row>
    <row r="206" spans="2:11" ht="24.9" customHeight="1" x14ac:dyDescent="0.3">
      <c r="B206" s="48">
        <v>11</v>
      </c>
      <c r="C206" s="77" t="str">
        <f>Services!B$14</f>
        <v>Other Non-Real Time Traffic Services</v>
      </c>
      <c r="D206" s="78"/>
      <c r="E206" s="78"/>
      <c r="F206" s="78"/>
      <c r="G206" s="79"/>
      <c r="H206" s="42">
        <v>375</v>
      </c>
      <c r="I206" s="43">
        <v>0.5625</v>
      </c>
      <c r="J206" s="51">
        <v>0</v>
      </c>
      <c r="K206" s="51">
        <v>0</v>
      </c>
    </row>
    <row r="207" spans="2:11" ht="24.9" customHeight="1" x14ac:dyDescent="0.3">
      <c r="B207" s="48">
        <v>12</v>
      </c>
      <c r="C207" s="77" t="str">
        <f>Services!B$15</f>
        <v>User Defined Service #1</v>
      </c>
      <c r="D207" s="78"/>
      <c r="E207" s="78"/>
      <c r="F207" s="78"/>
      <c r="G207" s="79"/>
      <c r="H207" s="42">
        <v>0</v>
      </c>
      <c r="I207" s="43">
        <v>0</v>
      </c>
      <c r="J207" s="51">
        <v>0</v>
      </c>
      <c r="K207" s="51">
        <v>0</v>
      </c>
    </row>
    <row r="208" spans="2:11" ht="24.9" customHeight="1" x14ac:dyDescent="0.3">
      <c r="B208" s="48">
        <v>13</v>
      </c>
      <c r="C208" s="77" t="str">
        <f>Services!B$16</f>
        <v>User Defined Service #2</v>
      </c>
      <c r="D208" s="78"/>
      <c r="E208" s="78"/>
      <c r="F208" s="78"/>
      <c r="G208" s="79"/>
      <c r="H208" s="42">
        <v>0</v>
      </c>
      <c r="I208" s="43">
        <v>0</v>
      </c>
      <c r="J208" s="51">
        <v>0</v>
      </c>
      <c r="K208" s="51">
        <v>0</v>
      </c>
    </row>
    <row r="209" spans="2:11" ht="24.9" customHeight="1" x14ac:dyDescent="0.3"/>
    <row r="210" spans="2:11" ht="24.9" customHeight="1" x14ac:dyDescent="0.3"/>
    <row r="211" spans="2:11" ht="24.9" customHeight="1" x14ac:dyDescent="0.3"/>
    <row r="212" spans="2:11" ht="24.9" customHeight="1" x14ac:dyDescent="0.3"/>
    <row r="213" spans="2:11" ht="24.9" customHeight="1" x14ac:dyDescent="0.3"/>
    <row r="214" spans="2:11" ht="24.9" customHeight="1" x14ac:dyDescent="0.3"/>
    <row r="215" spans="2:11" ht="24.9" customHeight="1" x14ac:dyDescent="0.3"/>
    <row r="216" spans="2:11" ht="24.9" customHeight="1" x14ac:dyDescent="0.3"/>
    <row r="217" spans="2:11" ht="24.9" customHeight="1" x14ac:dyDescent="0.3">
      <c r="B217" s="80" t="s">
        <v>85</v>
      </c>
      <c r="C217" s="80"/>
      <c r="D217" s="81" t="str">
        <f>Users!B11</f>
        <v>Administrative personel' workstations (or laptops) in the  offices</v>
      </c>
      <c r="E217" s="82"/>
      <c r="F217" s="82"/>
      <c r="G217" s="82"/>
      <c r="H217" s="82"/>
      <c r="I217" s="82"/>
      <c r="J217" s="82"/>
      <c r="K217" s="82"/>
    </row>
    <row r="218" spans="2:11" ht="24.9" customHeight="1" x14ac:dyDescent="0.3">
      <c r="B218" s="52"/>
      <c r="C218" s="52"/>
    </row>
    <row r="219" spans="2:11" ht="24.9" customHeight="1" x14ac:dyDescent="0.3">
      <c r="B219" s="83" t="s">
        <v>3</v>
      </c>
      <c r="C219" s="83" t="s">
        <v>28</v>
      </c>
      <c r="D219" s="84"/>
      <c r="E219" s="84"/>
      <c r="F219" s="84"/>
      <c r="G219" s="84"/>
      <c r="H219" s="85" t="s">
        <v>48</v>
      </c>
      <c r="I219" s="85"/>
      <c r="J219" s="85"/>
      <c r="K219" s="85"/>
    </row>
    <row r="220" spans="2:11" ht="24.9" customHeight="1" x14ac:dyDescent="0.3">
      <c r="B220" s="83"/>
      <c r="C220" s="83"/>
      <c r="D220" s="84"/>
      <c r="E220" s="84"/>
      <c r="F220" s="84"/>
      <c r="G220" s="84"/>
      <c r="H220" s="85"/>
      <c r="I220" s="85"/>
      <c r="J220" s="85"/>
      <c r="K220" s="85"/>
    </row>
    <row r="221" spans="2:11" ht="57.6" x14ac:dyDescent="0.3">
      <c r="B221" s="83"/>
      <c r="C221" s="83"/>
      <c r="D221" s="84"/>
      <c r="E221" s="84"/>
      <c r="F221" s="84"/>
      <c r="G221" s="84"/>
      <c r="H221" s="53" t="s">
        <v>29</v>
      </c>
      <c r="I221" s="53" t="s">
        <v>30</v>
      </c>
      <c r="J221" s="54" t="s">
        <v>54</v>
      </c>
      <c r="K221" s="54" t="s">
        <v>31</v>
      </c>
    </row>
    <row r="222" spans="2:11" ht="24.9" customHeight="1" x14ac:dyDescent="0.3">
      <c r="B222" s="48">
        <v>1</v>
      </c>
      <c r="C222" s="77" t="str">
        <f>Services!B$4</f>
        <v>Streaming video, including interactive online TV, live-stream trainings, individualized live video instructions etc.</v>
      </c>
      <c r="D222" s="78"/>
      <c r="E222" s="78"/>
      <c r="F222" s="78"/>
      <c r="G222" s="79"/>
      <c r="H222" s="42">
        <v>250</v>
      </c>
      <c r="I222" s="43">
        <v>6</v>
      </c>
      <c r="J222" s="51">
        <v>0.63</v>
      </c>
      <c r="K222" s="51">
        <v>412.5</v>
      </c>
    </row>
    <row r="223" spans="2:11" ht="24.9" customHeight="1" x14ac:dyDescent="0.3">
      <c r="B223" s="48">
        <v>2</v>
      </c>
      <c r="C223" s="77" t="str">
        <f>Services!B$5</f>
        <v>Services for group &amp; individual communication, including webinars, conferences, meetings, tutoring, etc.</v>
      </c>
      <c r="D223" s="78"/>
      <c r="E223" s="78"/>
      <c r="F223" s="78"/>
      <c r="G223" s="79"/>
      <c r="H223" s="42">
        <v>100</v>
      </c>
      <c r="I223" s="43">
        <v>2.25</v>
      </c>
      <c r="J223" s="51">
        <v>6.0000000000000001E-3</v>
      </c>
      <c r="K223" s="51">
        <v>202.5</v>
      </c>
    </row>
    <row r="224" spans="2:11" ht="24.9" customHeight="1" x14ac:dyDescent="0.3">
      <c r="B224" s="48">
        <v>3</v>
      </c>
      <c r="C224" s="77" t="str">
        <f>Services!B$6</f>
        <v>Online virtual simulators, educational online games, etc.</v>
      </c>
      <c r="D224" s="78"/>
      <c r="E224" s="78"/>
      <c r="F224" s="78"/>
      <c r="G224" s="79"/>
      <c r="H224" s="42">
        <v>100</v>
      </c>
      <c r="I224" s="43">
        <v>1.125</v>
      </c>
      <c r="J224" s="51">
        <v>1.2E-2</v>
      </c>
      <c r="K224" s="51">
        <v>150</v>
      </c>
    </row>
    <row r="225" spans="2:11" ht="24.9" customHeight="1" x14ac:dyDescent="0.3">
      <c r="B225" s="48">
        <v>4</v>
      </c>
      <c r="C225" s="77" t="str">
        <f>Services!B$7</f>
        <v>Services for group work (virtual boards, online graphics, etc.)</v>
      </c>
      <c r="D225" s="78"/>
      <c r="E225" s="78"/>
      <c r="F225" s="78"/>
      <c r="G225" s="79"/>
      <c r="H225" s="42">
        <v>100</v>
      </c>
      <c r="I225" s="43">
        <v>2.25</v>
      </c>
      <c r="J225" s="51">
        <v>7.4999999999999997E-3</v>
      </c>
      <c r="K225" s="51">
        <v>75</v>
      </c>
    </row>
    <row r="226" spans="2:11" ht="24.9" customHeight="1" x14ac:dyDescent="0.3">
      <c r="B226" s="48">
        <v>5</v>
      </c>
      <c r="C226" s="77" t="str">
        <f>Services!B$8</f>
        <v>Other Real Time Traffic Services</v>
      </c>
      <c r="D226" s="78"/>
      <c r="E226" s="78"/>
      <c r="F226" s="78"/>
      <c r="G226" s="79"/>
      <c r="H226" s="42">
        <v>250</v>
      </c>
      <c r="I226" s="43">
        <v>1.125</v>
      </c>
      <c r="J226" s="51">
        <v>7.4999999999999997E-3</v>
      </c>
      <c r="K226" s="51">
        <v>150</v>
      </c>
    </row>
    <row r="227" spans="2:11" ht="24.9" customHeight="1" x14ac:dyDescent="0.3">
      <c r="B227" s="48">
        <v>6</v>
      </c>
      <c r="C227" s="77" t="str">
        <f>Services!B$9</f>
        <v>Recorded educational clips, video instructions, trainings, Individualized recorded video, multimedia courses etc.</v>
      </c>
      <c r="D227" s="78"/>
      <c r="E227" s="78"/>
      <c r="F227" s="78"/>
      <c r="G227" s="79"/>
      <c r="H227" s="42">
        <v>250</v>
      </c>
      <c r="I227" s="43">
        <v>1.6875</v>
      </c>
      <c r="J227" s="51">
        <v>3.7499999999999999E-3</v>
      </c>
      <c r="K227" s="51">
        <v>375</v>
      </c>
    </row>
    <row r="228" spans="2:11" ht="24.9" customHeight="1" x14ac:dyDescent="0.3">
      <c r="B228" s="48">
        <v>7</v>
      </c>
      <c r="C228" s="77" t="str">
        <f>Services!B$10</f>
        <v>Learning management systems, including libraries, repositories, databases, educational web-services, services for storing information etc.</v>
      </c>
      <c r="D228" s="78"/>
      <c r="E228" s="78"/>
      <c r="F228" s="78"/>
      <c r="G228" s="79"/>
      <c r="H228" s="42">
        <v>375</v>
      </c>
      <c r="I228" s="43">
        <v>1.125</v>
      </c>
      <c r="J228" s="51">
        <v>1</v>
      </c>
      <c r="K228" s="51">
        <v>100</v>
      </c>
    </row>
    <row r="229" spans="2:11" ht="24.9" customHeight="1" x14ac:dyDescent="0.3">
      <c r="B229" s="48">
        <v>8</v>
      </c>
      <c r="C229" s="77" t="str">
        <f>Services!B$11</f>
        <v>Web-serfing, Search engines, bookmarking services, etc. E-mail, FTP and other classic services</v>
      </c>
      <c r="D229" s="78"/>
      <c r="E229" s="78"/>
      <c r="F229" s="78"/>
      <c r="G229" s="79"/>
      <c r="H229" s="42">
        <v>375</v>
      </c>
      <c r="I229" s="43">
        <v>1.125</v>
      </c>
      <c r="J229" s="51">
        <v>0.51</v>
      </c>
      <c r="K229" s="51">
        <v>7.5</v>
      </c>
    </row>
    <row r="230" spans="2:11" ht="24.9" customHeight="1" x14ac:dyDescent="0.3">
      <c r="B230" s="48">
        <v>9</v>
      </c>
      <c r="C230" s="77" t="str">
        <f>Services!B$12</f>
        <v>Discussion boards, Social media &amp; networks, forums etc.</v>
      </c>
      <c r="D230" s="78"/>
      <c r="E230" s="78"/>
      <c r="F230" s="78"/>
      <c r="G230" s="79"/>
      <c r="H230" s="42">
        <v>375</v>
      </c>
      <c r="I230" s="43">
        <v>1.125</v>
      </c>
      <c r="J230" s="51">
        <v>0.26249999999999996</v>
      </c>
      <c r="K230" s="51">
        <v>2.25</v>
      </c>
    </row>
    <row r="231" spans="2:11" ht="24.9" customHeight="1" x14ac:dyDescent="0.3">
      <c r="B231" s="48">
        <v>10</v>
      </c>
      <c r="C231" s="77" t="str">
        <f>Services!B$13</f>
        <v>Calendars and organizers, including lessons planning. Government e-portal access. Reporting Services etc.</v>
      </c>
      <c r="D231" s="78"/>
      <c r="E231" s="78"/>
      <c r="F231" s="78"/>
      <c r="G231" s="79"/>
      <c r="H231" s="42">
        <v>375</v>
      </c>
      <c r="I231" s="43">
        <v>0.5625</v>
      </c>
      <c r="J231" s="51">
        <v>0.30000000000000004</v>
      </c>
      <c r="K231" s="51">
        <v>2.25</v>
      </c>
    </row>
    <row r="232" spans="2:11" ht="24.9" customHeight="1" x14ac:dyDescent="0.3">
      <c r="B232" s="48">
        <v>11</v>
      </c>
      <c r="C232" s="77" t="str">
        <f>Services!B$14</f>
        <v>Other Non-Real Time Traffic Services</v>
      </c>
      <c r="D232" s="78"/>
      <c r="E232" s="78"/>
      <c r="F232" s="78"/>
      <c r="G232" s="79"/>
      <c r="H232" s="42">
        <v>375</v>
      </c>
      <c r="I232" s="43">
        <v>0.5625</v>
      </c>
      <c r="J232" s="51">
        <v>0.30000000000000004</v>
      </c>
      <c r="K232" s="51">
        <v>2.25</v>
      </c>
    </row>
    <row r="233" spans="2:11" ht="24.9" customHeight="1" x14ac:dyDescent="0.3">
      <c r="B233" s="48">
        <v>12</v>
      </c>
      <c r="C233" s="77" t="str">
        <f>Services!B$15</f>
        <v>User Defined Service #1</v>
      </c>
      <c r="D233" s="78"/>
      <c r="E233" s="78"/>
      <c r="F233" s="78"/>
      <c r="G233" s="79"/>
      <c r="H233" s="42">
        <v>0</v>
      </c>
      <c r="I233" s="43">
        <v>0</v>
      </c>
      <c r="J233" s="51">
        <v>0</v>
      </c>
      <c r="K233" s="51">
        <v>0</v>
      </c>
    </row>
    <row r="234" spans="2:11" ht="24.9" customHeight="1" x14ac:dyDescent="0.3">
      <c r="B234" s="48">
        <v>13</v>
      </c>
      <c r="C234" s="77" t="str">
        <f>Services!B$16</f>
        <v>User Defined Service #2</v>
      </c>
      <c r="D234" s="78"/>
      <c r="E234" s="78"/>
      <c r="F234" s="78"/>
      <c r="G234" s="79"/>
      <c r="H234" s="42">
        <v>0</v>
      </c>
      <c r="I234" s="43">
        <v>0</v>
      </c>
      <c r="J234" s="51">
        <v>0</v>
      </c>
      <c r="K234" s="51">
        <v>0</v>
      </c>
    </row>
    <row r="235" spans="2:11" ht="24.9" customHeight="1" x14ac:dyDescent="0.3"/>
    <row r="236" spans="2:11" ht="24.9" customHeight="1" x14ac:dyDescent="0.3"/>
    <row r="237" spans="2:11" ht="24.9" customHeight="1" x14ac:dyDescent="0.3"/>
    <row r="238" spans="2:11" ht="24.9" customHeight="1" x14ac:dyDescent="0.3"/>
    <row r="239" spans="2:11" ht="24.9" customHeight="1" x14ac:dyDescent="0.3"/>
    <row r="240" spans="2:11" ht="24.9" customHeight="1" x14ac:dyDescent="0.3"/>
    <row r="241" spans="2:11" ht="24.9" customHeight="1" x14ac:dyDescent="0.3"/>
    <row r="242" spans="2:11" ht="24.9" customHeight="1" x14ac:dyDescent="0.3"/>
    <row r="243" spans="2:11" ht="24.9" customHeight="1" x14ac:dyDescent="0.3">
      <c r="B243" s="80" t="s">
        <v>85</v>
      </c>
      <c r="C243" s="80"/>
      <c r="D243" s="81" t="str">
        <f>Users!B12</f>
        <v>Administrative personel' mobile devices</v>
      </c>
      <c r="E243" s="82"/>
      <c r="F243" s="82"/>
      <c r="G243" s="82"/>
      <c r="H243" s="82"/>
      <c r="I243" s="82"/>
      <c r="J243" s="82"/>
      <c r="K243" s="82"/>
    </row>
    <row r="244" spans="2:11" ht="24.9" customHeight="1" x14ac:dyDescent="0.3">
      <c r="B244" s="52"/>
      <c r="C244" s="52"/>
    </row>
    <row r="245" spans="2:11" ht="24.9" customHeight="1" x14ac:dyDescent="0.3">
      <c r="B245" s="83" t="s">
        <v>3</v>
      </c>
      <c r="C245" s="83" t="s">
        <v>28</v>
      </c>
      <c r="D245" s="84"/>
      <c r="E245" s="84"/>
      <c r="F245" s="84"/>
      <c r="G245" s="84"/>
      <c r="H245" s="85" t="s">
        <v>48</v>
      </c>
      <c r="I245" s="85"/>
      <c r="J245" s="85"/>
      <c r="K245" s="85"/>
    </row>
    <row r="246" spans="2:11" ht="24.9" customHeight="1" x14ac:dyDescent="0.3">
      <c r="B246" s="83"/>
      <c r="C246" s="83"/>
      <c r="D246" s="84"/>
      <c r="E246" s="84"/>
      <c r="F246" s="84"/>
      <c r="G246" s="84"/>
      <c r="H246" s="85"/>
      <c r="I246" s="85"/>
      <c r="J246" s="85"/>
      <c r="K246" s="85"/>
    </row>
    <row r="247" spans="2:11" ht="57.6" x14ac:dyDescent="0.3">
      <c r="B247" s="83"/>
      <c r="C247" s="83"/>
      <c r="D247" s="84"/>
      <c r="E247" s="84"/>
      <c r="F247" s="84"/>
      <c r="G247" s="84"/>
      <c r="H247" s="53" t="s">
        <v>29</v>
      </c>
      <c r="I247" s="53" t="s">
        <v>30</v>
      </c>
      <c r="J247" s="54" t="s">
        <v>54</v>
      </c>
      <c r="K247" s="54" t="s">
        <v>31</v>
      </c>
    </row>
    <row r="248" spans="2:11" ht="24.9" customHeight="1" x14ac:dyDescent="0.3">
      <c r="B248" s="48">
        <v>1</v>
      </c>
      <c r="C248" s="77" t="str">
        <f>Services!B$4</f>
        <v>Streaming video, including interactive online TV, live-stream trainings, individualized live video instructions etc.</v>
      </c>
      <c r="D248" s="78"/>
      <c r="E248" s="78"/>
      <c r="F248" s="78"/>
      <c r="G248" s="79"/>
      <c r="H248" s="42">
        <v>250</v>
      </c>
      <c r="I248" s="43">
        <v>6</v>
      </c>
      <c r="J248" s="51">
        <v>0.63</v>
      </c>
      <c r="K248" s="51">
        <v>412.5</v>
      </c>
    </row>
    <row r="249" spans="2:11" ht="24.9" customHeight="1" x14ac:dyDescent="0.3">
      <c r="B249" s="48">
        <v>2</v>
      </c>
      <c r="C249" s="77" t="str">
        <f>Services!B$5</f>
        <v>Services for group &amp; individual communication, including webinars, conferences, meetings, tutoring, etc.</v>
      </c>
      <c r="D249" s="78"/>
      <c r="E249" s="78"/>
      <c r="F249" s="78"/>
      <c r="G249" s="79"/>
      <c r="H249" s="42">
        <v>100</v>
      </c>
      <c r="I249" s="43">
        <v>2.25</v>
      </c>
      <c r="J249" s="51">
        <v>6.0000000000000001E-3</v>
      </c>
      <c r="K249" s="51">
        <v>202.5</v>
      </c>
    </row>
    <row r="250" spans="2:11" ht="24.9" customHeight="1" x14ac:dyDescent="0.3">
      <c r="B250" s="48">
        <v>3</v>
      </c>
      <c r="C250" s="77" t="str">
        <f>Services!B$6</f>
        <v>Online virtual simulators, educational online games, etc.</v>
      </c>
      <c r="D250" s="78"/>
      <c r="E250" s="78"/>
      <c r="F250" s="78"/>
      <c r="G250" s="79"/>
      <c r="H250" s="42">
        <v>100</v>
      </c>
      <c r="I250" s="43">
        <v>1.125</v>
      </c>
      <c r="J250" s="51">
        <v>0</v>
      </c>
      <c r="K250" s="51">
        <v>0</v>
      </c>
    </row>
    <row r="251" spans="2:11" ht="24.9" customHeight="1" x14ac:dyDescent="0.3">
      <c r="B251" s="48">
        <v>4</v>
      </c>
      <c r="C251" s="77" t="str">
        <f>Services!B$7</f>
        <v>Services for group work (virtual boards, online graphics, etc.)</v>
      </c>
      <c r="D251" s="78"/>
      <c r="E251" s="78"/>
      <c r="F251" s="78"/>
      <c r="G251" s="79"/>
      <c r="H251" s="42">
        <v>100</v>
      </c>
      <c r="I251" s="43">
        <v>2.25</v>
      </c>
      <c r="J251" s="51">
        <v>7.4999999999999997E-3</v>
      </c>
      <c r="K251" s="51">
        <v>75</v>
      </c>
    </row>
    <row r="252" spans="2:11" ht="24.9" customHeight="1" x14ac:dyDescent="0.3">
      <c r="B252" s="48">
        <v>5</v>
      </c>
      <c r="C252" s="77" t="str">
        <f>Services!B$8</f>
        <v>Other Real Time Traffic Services</v>
      </c>
      <c r="D252" s="78"/>
      <c r="E252" s="78"/>
      <c r="F252" s="78"/>
      <c r="G252" s="79"/>
      <c r="H252" s="42">
        <v>250</v>
      </c>
      <c r="I252" s="43">
        <v>1.125</v>
      </c>
      <c r="J252" s="51">
        <v>0</v>
      </c>
      <c r="K252" s="51">
        <v>0</v>
      </c>
    </row>
    <row r="253" spans="2:11" ht="24.9" customHeight="1" x14ac:dyDescent="0.3">
      <c r="B253" s="48">
        <v>6</v>
      </c>
      <c r="C253" s="77" t="str">
        <f>Services!B$9</f>
        <v>Recorded educational clips, video instructions, trainings, Individualized recorded video, multimedia courses etc.</v>
      </c>
      <c r="D253" s="78"/>
      <c r="E253" s="78"/>
      <c r="F253" s="78"/>
      <c r="G253" s="79"/>
      <c r="H253" s="42">
        <v>250</v>
      </c>
      <c r="I253" s="43">
        <v>1.6875</v>
      </c>
      <c r="J253" s="51">
        <v>3.7499999999999999E-3</v>
      </c>
      <c r="K253" s="51">
        <v>375</v>
      </c>
    </row>
    <row r="254" spans="2:11" ht="24.9" customHeight="1" x14ac:dyDescent="0.3">
      <c r="B254" s="48">
        <v>7</v>
      </c>
      <c r="C254" s="77" t="str">
        <f>Services!B$10</f>
        <v>Learning management systems, including libraries, repositories, databases, educational web-services, services for storing information etc.</v>
      </c>
      <c r="D254" s="78"/>
      <c r="E254" s="78"/>
      <c r="F254" s="78"/>
      <c r="G254" s="79"/>
      <c r="H254" s="42">
        <v>375</v>
      </c>
      <c r="I254" s="43">
        <v>1.125</v>
      </c>
      <c r="J254" s="51">
        <v>0</v>
      </c>
      <c r="K254" s="51">
        <v>0</v>
      </c>
    </row>
    <row r="255" spans="2:11" ht="24.9" customHeight="1" x14ac:dyDescent="0.3">
      <c r="B255" s="48">
        <v>8</v>
      </c>
      <c r="C255" s="77" t="str">
        <f>Services!B$11</f>
        <v>Web-serfing, Search engines, bookmarking services, etc. E-mail, FTP and other classic services</v>
      </c>
      <c r="D255" s="78"/>
      <c r="E255" s="78"/>
      <c r="F255" s="78"/>
      <c r="G255" s="79"/>
      <c r="H255" s="42">
        <v>375</v>
      </c>
      <c r="I255" s="43">
        <v>1.125</v>
      </c>
      <c r="J255" s="51">
        <v>0.51</v>
      </c>
      <c r="K255" s="51">
        <v>7.5</v>
      </c>
    </row>
    <row r="256" spans="2:11" ht="24.9" customHeight="1" x14ac:dyDescent="0.3">
      <c r="B256" s="48">
        <v>9</v>
      </c>
      <c r="C256" s="77" t="str">
        <f>Services!B$12</f>
        <v>Discussion boards, Social media &amp; networks, forums etc.</v>
      </c>
      <c r="D256" s="78"/>
      <c r="E256" s="78"/>
      <c r="F256" s="78"/>
      <c r="G256" s="79"/>
      <c r="H256" s="42">
        <v>375</v>
      </c>
      <c r="I256" s="43">
        <v>1.125</v>
      </c>
      <c r="J256" s="51">
        <v>0</v>
      </c>
      <c r="K256" s="51">
        <v>0</v>
      </c>
    </row>
    <row r="257" spans="2:11" ht="24.9" customHeight="1" x14ac:dyDescent="0.3">
      <c r="B257" s="48">
        <v>10</v>
      </c>
      <c r="C257" s="77" t="str">
        <f>Services!B$13</f>
        <v>Calendars and organizers, including lessons planning. Government e-portal access. Reporting Services etc.</v>
      </c>
      <c r="D257" s="78"/>
      <c r="E257" s="78"/>
      <c r="F257" s="78"/>
      <c r="G257" s="79"/>
      <c r="H257" s="42">
        <v>375</v>
      </c>
      <c r="I257" s="43">
        <v>0.5625</v>
      </c>
      <c r="J257" s="51">
        <v>0.30000000000000004</v>
      </c>
      <c r="K257" s="51">
        <v>2.25</v>
      </c>
    </row>
    <row r="258" spans="2:11" ht="24.9" customHeight="1" x14ac:dyDescent="0.3">
      <c r="B258" s="48">
        <v>11</v>
      </c>
      <c r="C258" s="77" t="str">
        <f>Services!B$14</f>
        <v>Other Non-Real Time Traffic Services</v>
      </c>
      <c r="D258" s="78"/>
      <c r="E258" s="78"/>
      <c r="F258" s="78"/>
      <c r="G258" s="79"/>
      <c r="H258" s="42">
        <v>375</v>
      </c>
      <c r="I258" s="43">
        <v>0.5625</v>
      </c>
      <c r="J258" s="51">
        <v>0</v>
      </c>
      <c r="K258" s="51">
        <v>0</v>
      </c>
    </row>
    <row r="259" spans="2:11" ht="24.9" customHeight="1" x14ac:dyDescent="0.3">
      <c r="B259" s="48">
        <v>12</v>
      </c>
      <c r="C259" s="77" t="str">
        <f>Services!B$15</f>
        <v>User Defined Service #1</v>
      </c>
      <c r="D259" s="78"/>
      <c r="E259" s="78"/>
      <c r="F259" s="78"/>
      <c r="G259" s="79"/>
      <c r="H259" s="42">
        <v>0</v>
      </c>
      <c r="I259" s="43">
        <v>0</v>
      </c>
      <c r="J259" s="51">
        <v>0</v>
      </c>
      <c r="K259" s="51">
        <v>0</v>
      </c>
    </row>
    <row r="260" spans="2:11" ht="24.9" customHeight="1" x14ac:dyDescent="0.3">
      <c r="B260" s="48">
        <v>13</v>
      </c>
      <c r="C260" s="77" t="str">
        <f>Services!B$16</f>
        <v>User Defined Service #2</v>
      </c>
      <c r="D260" s="78"/>
      <c r="E260" s="78"/>
      <c r="F260" s="78"/>
      <c r="G260" s="79"/>
      <c r="H260" s="42">
        <v>0</v>
      </c>
      <c r="I260" s="43">
        <v>0</v>
      </c>
      <c r="J260" s="51">
        <v>0</v>
      </c>
      <c r="K260" s="51">
        <v>0</v>
      </c>
    </row>
    <row r="261" spans="2:11" ht="24.9" customHeight="1" x14ac:dyDescent="0.3"/>
    <row r="262" spans="2:11" ht="24.9" customHeight="1" x14ac:dyDescent="0.3"/>
    <row r="263" spans="2:11" ht="24.9" customHeight="1" x14ac:dyDescent="0.3"/>
    <row r="264" spans="2:11" ht="24.9" customHeight="1" x14ac:dyDescent="0.3"/>
    <row r="265" spans="2:11" ht="24.9" customHeight="1" x14ac:dyDescent="0.3"/>
    <row r="266" spans="2:11" ht="24.9" customHeight="1" x14ac:dyDescent="0.3"/>
    <row r="267" spans="2:11" ht="24.9" customHeight="1" x14ac:dyDescent="0.3"/>
    <row r="268" spans="2:11" ht="24.9" customHeight="1" x14ac:dyDescent="0.3"/>
    <row r="269" spans="2:11" ht="24.9" customHeight="1" x14ac:dyDescent="0.3">
      <c r="B269" s="80" t="s">
        <v>47</v>
      </c>
      <c r="C269" s="80"/>
      <c r="D269" s="81" t="str">
        <f>Users!B13</f>
        <v>Guests' and community's mobile devices</v>
      </c>
      <c r="E269" s="82"/>
      <c r="F269" s="82"/>
      <c r="G269" s="82"/>
      <c r="H269" s="82"/>
      <c r="I269" s="82"/>
      <c r="J269" s="82"/>
      <c r="K269" s="82"/>
    </row>
    <row r="270" spans="2:11" ht="24.9" customHeight="1" x14ac:dyDescent="0.3">
      <c r="B270" s="52"/>
      <c r="C270" s="52"/>
    </row>
    <row r="271" spans="2:11" ht="24.9" customHeight="1" x14ac:dyDescent="0.3">
      <c r="B271" s="83" t="s">
        <v>3</v>
      </c>
      <c r="C271" s="83" t="s">
        <v>28</v>
      </c>
      <c r="D271" s="84"/>
      <c r="E271" s="84"/>
      <c r="F271" s="84"/>
      <c r="G271" s="84"/>
      <c r="H271" s="85" t="s">
        <v>48</v>
      </c>
      <c r="I271" s="85"/>
      <c r="J271" s="85"/>
      <c r="K271" s="85"/>
    </row>
    <row r="272" spans="2:11" ht="24.9" customHeight="1" x14ac:dyDescent="0.3">
      <c r="B272" s="83"/>
      <c r="C272" s="83"/>
      <c r="D272" s="84"/>
      <c r="E272" s="84"/>
      <c r="F272" s="84"/>
      <c r="G272" s="84"/>
      <c r="H272" s="85"/>
      <c r="I272" s="85"/>
      <c r="J272" s="85"/>
      <c r="K272" s="85"/>
    </row>
    <row r="273" spans="2:11" ht="57.6" x14ac:dyDescent="0.3">
      <c r="B273" s="83"/>
      <c r="C273" s="83"/>
      <c r="D273" s="84"/>
      <c r="E273" s="84"/>
      <c r="F273" s="84"/>
      <c r="G273" s="84"/>
      <c r="H273" s="53" t="s">
        <v>29</v>
      </c>
      <c r="I273" s="53" t="s">
        <v>30</v>
      </c>
      <c r="J273" s="54" t="s">
        <v>54</v>
      </c>
      <c r="K273" s="54" t="s">
        <v>31</v>
      </c>
    </row>
    <row r="274" spans="2:11" ht="24.9" customHeight="1" x14ac:dyDescent="0.3">
      <c r="B274" s="48">
        <v>1</v>
      </c>
      <c r="C274" s="77" t="str">
        <f>Services!B$4</f>
        <v>Streaming video, including interactive online TV, live-stream trainings, individualized live video instructions etc.</v>
      </c>
      <c r="D274" s="78"/>
      <c r="E274" s="78"/>
      <c r="F274" s="78"/>
      <c r="G274" s="79"/>
      <c r="H274" s="42">
        <v>250</v>
      </c>
      <c r="I274" s="43">
        <v>6</v>
      </c>
      <c r="J274" s="51">
        <v>0.63</v>
      </c>
      <c r="K274" s="51">
        <v>412.5</v>
      </c>
    </row>
    <row r="275" spans="2:11" ht="24.9" customHeight="1" x14ac:dyDescent="0.3">
      <c r="B275" s="48">
        <v>2</v>
      </c>
      <c r="C275" s="77" t="str">
        <f>Services!B$5</f>
        <v>Services for group &amp; individual communication, including webinars, conferences, meetings, tutoring, etc.</v>
      </c>
      <c r="D275" s="78"/>
      <c r="E275" s="78"/>
      <c r="F275" s="78"/>
      <c r="G275" s="79"/>
      <c r="H275" s="42">
        <v>100</v>
      </c>
      <c r="I275" s="43">
        <v>2.25</v>
      </c>
      <c r="J275" s="51">
        <v>6.0000000000000001E-3</v>
      </c>
      <c r="K275" s="51">
        <v>202.5</v>
      </c>
    </row>
    <row r="276" spans="2:11" ht="24.9" customHeight="1" x14ac:dyDescent="0.3">
      <c r="B276" s="48">
        <v>3</v>
      </c>
      <c r="C276" s="77" t="str">
        <f>Services!B$6</f>
        <v>Online virtual simulators, educational online games, etc.</v>
      </c>
      <c r="D276" s="78"/>
      <c r="E276" s="78"/>
      <c r="F276" s="78"/>
      <c r="G276" s="79"/>
      <c r="H276" s="42">
        <v>100</v>
      </c>
      <c r="I276" s="43">
        <v>1.125</v>
      </c>
      <c r="J276" s="51">
        <v>0</v>
      </c>
      <c r="K276" s="51">
        <v>0</v>
      </c>
    </row>
    <row r="277" spans="2:11" ht="24.9" customHeight="1" x14ac:dyDescent="0.3">
      <c r="B277" s="48">
        <v>4</v>
      </c>
      <c r="C277" s="77" t="str">
        <f>Services!B$7</f>
        <v>Services for group work (virtual boards, online graphics, etc.)</v>
      </c>
      <c r="D277" s="78"/>
      <c r="E277" s="78"/>
      <c r="F277" s="78"/>
      <c r="G277" s="79"/>
      <c r="H277" s="42">
        <v>100</v>
      </c>
      <c r="I277" s="43">
        <v>2.25</v>
      </c>
      <c r="J277" s="51">
        <v>7.4999999999999997E-3</v>
      </c>
      <c r="K277" s="51">
        <v>75</v>
      </c>
    </row>
    <row r="278" spans="2:11" ht="24.9" customHeight="1" x14ac:dyDescent="0.3">
      <c r="B278" s="48">
        <v>5</v>
      </c>
      <c r="C278" s="77" t="str">
        <f>Services!B$8</f>
        <v>Other Real Time Traffic Services</v>
      </c>
      <c r="D278" s="78"/>
      <c r="E278" s="78"/>
      <c r="F278" s="78"/>
      <c r="G278" s="79"/>
      <c r="H278" s="42">
        <v>250</v>
      </c>
      <c r="I278" s="43">
        <v>1.125</v>
      </c>
      <c r="J278" s="51">
        <v>0</v>
      </c>
      <c r="K278" s="51">
        <v>0</v>
      </c>
    </row>
    <row r="279" spans="2:11" ht="24.9" customHeight="1" x14ac:dyDescent="0.3">
      <c r="B279" s="48">
        <v>6</v>
      </c>
      <c r="C279" s="77" t="str">
        <f>Services!B$9</f>
        <v>Recorded educational clips, video instructions, trainings, Individualized recorded video, multimedia courses etc.</v>
      </c>
      <c r="D279" s="78"/>
      <c r="E279" s="78"/>
      <c r="F279" s="78"/>
      <c r="G279" s="79"/>
      <c r="H279" s="42">
        <v>250</v>
      </c>
      <c r="I279" s="43">
        <v>1.6875</v>
      </c>
      <c r="J279" s="51">
        <v>3.7499999999999999E-3</v>
      </c>
      <c r="K279" s="51">
        <v>375</v>
      </c>
    </row>
    <row r="280" spans="2:11" ht="24.9" customHeight="1" x14ac:dyDescent="0.3">
      <c r="B280" s="48">
        <v>7</v>
      </c>
      <c r="C280" s="77" t="str">
        <f>Services!B$10</f>
        <v>Learning management systems, including libraries, repositories, databases, educational web-services, services for storing information etc.</v>
      </c>
      <c r="D280" s="78"/>
      <c r="E280" s="78"/>
      <c r="F280" s="78"/>
      <c r="G280" s="79"/>
      <c r="H280" s="42">
        <v>375</v>
      </c>
      <c r="I280" s="43">
        <v>1.125</v>
      </c>
      <c r="J280" s="51">
        <v>0</v>
      </c>
      <c r="K280" s="51">
        <v>0</v>
      </c>
    </row>
    <row r="281" spans="2:11" ht="24.9" customHeight="1" x14ac:dyDescent="0.3">
      <c r="B281" s="48">
        <v>8</v>
      </c>
      <c r="C281" s="77" t="str">
        <f>Services!B$11</f>
        <v>Web-serfing, Search engines, bookmarking services, etc. E-mail, FTP and other classic services</v>
      </c>
      <c r="D281" s="78"/>
      <c r="E281" s="78"/>
      <c r="F281" s="78"/>
      <c r="G281" s="79"/>
      <c r="H281" s="42">
        <v>375</v>
      </c>
      <c r="I281" s="43">
        <v>1.125</v>
      </c>
      <c r="J281" s="51">
        <v>0.51</v>
      </c>
      <c r="K281" s="51">
        <v>7.5</v>
      </c>
    </row>
    <row r="282" spans="2:11" ht="24.9" customHeight="1" x14ac:dyDescent="0.3">
      <c r="B282" s="48">
        <v>9</v>
      </c>
      <c r="C282" s="77" t="str">
        <f>Services!B$12</f>
        <v>Discussion boards, Social media &amp; networks, forums etc.</v>
      </c>
      <c r="D282" s="78"/>
      <c r="E282" s="78"/>
      <c r="F282" s="78"/>
      <c r="G282" s="79"/>
      <c r="H282" s="42">
        <v>375</v>
      </c>
      <c r="I282" s="43">
        <v>1.125</v>
      </c>
      <c r="J282" s="51">
        <v>0</v>
      </c>
      <c r="K282" s="51">
        <v>0</v>
      </c>
    </row>
    <row r="283" spans="2:11" ht="24.9" customHeight="1" x14ac:dyDescent="0.3">
      <c r="B283" s="48">
        <v>10</v>
      </c>
      <c r="C283" s="77" t="str">
        <f>Services!B$13</f>
        <v>Calendars and organizers, including lessons planning. Government e-portal access. Reporting Services etc.</v>
      </c>
      <c r="D283" s="78"/>
      <c r="E283" s="78"/>
      <c r="F283" s="78"/>
      <c r="G283" s="79"/>
      <c r="H283" s="42">
        <v>375</v>
      </c>
      <c r="I283" s="43">
        <v>0.5625</v>
      </c>
      <c r="J283" s="51">
        <v>0.30000000000000004</v>
      </c>
      <c r="K283" s="51">
        <v>2.25</v>
      </c>
    </row>
    <row r="284" spans="2:11" ht="24.9" customHeight="1" x14ac:dyDescent="0.3">
      <c r="B284" s="48">
        <v>11</v>
      </c>
      <c r="C284" s="77" t="str">
        <f>Services!B$14</f>
        <v>Other Non-Real Time Traffic Services</v>
      </c>
      <c r="D284" s="78"/>
      <c r="E284" s="78"/>
      <c r="F284" s="78"/>
      <c r="G284" s="79"/>
      <c r="H284" s="42">
        <v>375</v>
      </c>
      <c r="I284" s="43">
        <v>0.5625</v>
      </c>
      <c r="J284" s="51">
        <v>0</v>
      </c>
      <c r="K284" s="51">
        <v>0</v>
      </c>
    </row>
    <row r="285" spans="2:11" ht="24.9" customHeight="1" x14ac:dyDescent="0.3">
      <c r="B285" s="48">
        <v>12</v>
      </c>
      <c r="C285" s="77" t="str">
        <f>Services!B$15</f>
        <v>User Defined Service #1</v>
      </c>
      <c r="D285" s="78"/>
      <c r="E285" s="78"/>
      <c r="F285" s="78"/>
      <c r="G285" s="79"/>
      <c r="H285" s="42">
        <v>0</v>
      </c>
      <c r="I285" s="43">
        <v>0</v>
      </c>
      <c r="J285" s="51">
        <v>0</v>
      </c>
      <c r="K285" s="51">
        <v>0</v>
      </c>
    </row>
    <row r="286" spans="2:11" ht="24.9" customHeight="1" x14ac:dyDescent="0.3">
      <c r="B286" s="48">
        <v>13</v>
      </c>
      <c r="C286" s="77" t="str">
        <f>Services!B$16</f>
        <v>User Defined Service #2</v>
      </c>
      <c r="D286" s="78"/>
      <c r="E286" s="78"/>
      <c r="F286" s="78"/>
      <c r="G286" s="79"/>
      <c r="H286" s="42">
        <v>0</v>
      </c>
      <c r="I286" s="43">
        <v>0</v>
      </c>
      <c r="J286" s="51">
        <v>0</v>
      </c>
      <c r="K286" s="51">
        <v>0</v>
      </c>
    </row>
    <row r="287" spans="2:11" ht="24.9" customHeight="1" x14ac:dyDescent="0.3"/>
    <row r="288" spans="2:11" ht="24.9" customHeight="1" x14ac:dyDescent="0.3"/>
    <row r="289" spans="2:11" ht="24.9" customHeight="1" x14ac:dyDescent="0.3"/>
    <row r="290" spans="2:11" ht="24.9" customHeight="1" x14ac:dyDescent="0.3"/>
    <row r="291" spans="2:11" ht="24.9" customHeight="1" x14ac:dyDescent="0.3"/>
    <row r="292" spans="2:11" ht="24.9" customHeight="1" x14ac:dyDescent="0.3"/>
    <row r="293" spans="2:11" ht="24.9" customHeight="1" x14ac:dyDescent="0.3"/>
    <row r="294" spans="2:11" ht="24.9" customHeight="1" x14ac:dyDescent="0.3"/>
    <row r="295" spans="2:11" ht="24.9" customHeight="1" x14ac:dyDescent="0.3">
      <c r="B295" s="80" t="s">
        <v>85</v>
      </c>
      <c r="C295" s="80"/>
      <c r="D295" s="81" t="str">
        <f>Users!B14</f>
        <v>User Defined Group #1</v>
      </c>
      <c r="E295" s="82"/>
      <c r="F295" s="82"/>
      <c r="G295" s="82"/>
      <c r="H295" s="82"/>
      <c r="I295" s="82"/>
      <c r="J295" s="82"/>
      <c r="K295" s="82"/>
    </row>
    <row r="296" spans="2:11" ht="24.9" customHeight="1" x14ac:dyDescent="0.3">
      <c r="B296" s="52"/>
      <c r="C296" s="52"/>
    </row>
    <row r="297" spans="2:11" ht="24.9" customHeight="1" x14ac:dyDescent="0.3">
      <c r="B297" s="83" t="s">
        <v>3</v>
      </c>
      <c r="C297" s="83" t="s">
        <v>28</v>
      </c>
      <c r="D297" s="84"/>
      <c r="E297" s="84"/>
      <c r="F297" s="84"/>
      <c r="G297" s="84"/>
      <c r="H297" s="85" t="s">
        <v>48</v>
      </c>
      <c r="I297" s="85"/>
      <c r="J297" s="85"/>
      <c r="K297" s="85"/>
    </row>
    <row r="298" spans="2:11" ht="24.9" customHeight="1" x14ac:dyDescent="0.3">
      <c r="B298" s="83"/>
      <c r="C298" s="83"/>
      <c r="D298" s="84"/>
      <c r="E298" s="84"/>
      <c r="F298" s="84"/>
      <c r="G298" s="84"/>
      <c r="H298" s="85"/>
      <c r="I298" s="85"/>
      <c r="J298" s="85"/>
      <c r="K298" s="85"/>
    </row>
    <row r="299" spans="2:11" ht="57.6" x14ac:dyDescent="0.3">
      <c r="B299" s="83"/>
      <c r="C299" s="83"/>
      <c r="D299" s="84"/>
      <c r="E299" s="84"/>
      <c r="F299" s="84"/>
      <c r="G299" s="84"/>
      <c r="H299" s="53" t="s">
        <v>29</v>
      </c>
      <c r="I299" s="53" t="s">
        <v>30</v>
      </c>
      <c r="J299" s="54" t="s">
        <v>54</v>
      </c>
      <c r="K299" s="54" t="s">
        <v>31</v>
      </c>
    </row>
    <row r="300" spans="2:11" ht="24.9" customHeight="1" x14ac:dyDescent="0.3">
      <c r="B300" s="48">
        <v>1</v>
      </c>
      <c r="C300" s="77" t="str">
        <f>Services!B$4</f>
        <v>Streaming video, including interactive online TV, live-stream trainings, individualized live video instructions etc.</v>
      </c>
      <c r="D300" s="78"/>
      <c r="E300" s="78"/>
      <c r="F300" s="78"/>
      <c r="G300" s="79"/>
      <c r="H300" s="42">
        <v>250</v>
      </c>
      <c r="I300" s="43">
        <v>6</v>
      </c>
      <c r="J300" s="51">
        <v>0</v>
      </c>
      <c r="K300" s="51">
        <v>0</v>
      </c>
    </row>
    <row r="301" spans="2:11" ht="24.9" customHeight="1" x14ac:dyDescent="0.3">
      <c r="B301" s="48">
        <v>2</v>
      </c>
      <c r="C301" s="77" t="str">
        <f>Services!B$5</f>
        <v>Services for group &amp; individual communication, including webinars, conferences, meetings, tutoring, etc.</v>
      </c>
      <c r="D301" s="78"/>
      <c r="E301" s="78"/>
      <c r="F301" s="78"/>
      <c r="G301" s="79"/>
      <c r="H301" s="42">
        <v>100</v>
      </c>
      <c r="I301" s="43">
        <v>2.25</v>
      </c>
      <c r="J301" s="51">
        <v>0</v>
      </c>
      <c r="K301" s="51">
        <v>0</v>
      </c>
    </row>
    <row r="302" spans="2:11" ht="24.9" customHeight="1" x14ac:dyDescent="0.3">
      <c r="B302" s="48">
        <v>3</v>
      </c>
      <c r="C302" s="77" t="str">
        <f>Services!B$6</f>
        <v>Online virtual simulators, educational online games, etc.</v>
      </c>
      <c r="D302" s="78"/>
      <c r="E302" s="78"/>
      <c r="F302" s="78"/>
      <c r="G302" s="79"/>
      <c r="H302" s="42">
        <v>100</v>
      </c>
      <c r="I302" s="43">
        <v>1.125</v>
      </c>
      <c r="J302" s="51">
        <v>0</v>
      </c>
      <c r="K302" s="51">
        <v>0</v>
      </c>
    </row>
    <row r="303" spans="2:11" ht="24.9" customHeight="1" x14ac:dyDescent="0.3">
      <c r="B303" s="48">
        <v>4</v>
      </c>
      <c r="C303" s="77" t="str">
        <f>Services!B$7</f>
        <v>Services for group work (virtual boards, online graphics, etc.)</v>
      </c>
      <c r="D303" s="78"/>
      <c r="E303" s="78"/>
      <c r="F303" s="78"/>
      <c r="G303" s="79"/>
      <c r="H303" s="42">
        <v>100</v>
      </c>
      <c r="I303" s="43">
        <v>2.25</v>
      </c>
      <c r="J303" s="51">
        <v>0</v>
      </c>
      <c r="K303" s="51">
        <v>0</v>
      </c>
    </row>
    <row r="304" spans="2:11" ht="24.9" customHeight="1" x14ac:dyDescent="0.3">
      <c r="B304" s="48">
        <v>5</v>
      </c>
      <c r="C304" s="77" t="str">
        <f>Services!B$8</f>
        <v>Other Real Time Traffic Services</v>
      </c>
      <c r="D304" s="78"/>
      <c r="E304" s="78"/>
      <c r="F304" s="78"/>
      <c r="G304" s="79"/>
      <c r="H304" s="42">
        <v>250</v>
      </c>
      <c r="I304" s="43">
        <v>1.125</v>
      </c>
      <c r="J304" s="51">
        <v>0</v>
      </c>
      <c r="K304" s="51">
        <v>0</v>
      </c>
    </row>
    <row r="305" spans="2:11" ht="24.9" customHeight="1" x14ac:dyDescent="0.3">
      <c r="B305" s="48">
        <v>6</v>
      </c>
      <c r="C305" s="77" t="str">
        <f>Services!B$9</f>
        <v>Recorded educational clips, video instructions, trainings, Individualized recorded video, multimedia courses etc.</v>
      </c>
      <c r="D305" s="78"/>
      <c r="E305" s="78"/>
      <c r="F305" s="78"/>
      <c r="G305" s="79"/>
      <c r="H305" s="42">
        <v>250</v>
      </c>
      <c r="I305" s="43">
        <v>1.6875</v>
      </c>
      <c r="J305" s="51">
        <v>0</v>
      </c>
      <c r="K305" s="51">
        <v>0</v>
      </c>
    </row>
    <row r="306" spans="2:11" ht="24.9" customHeight="1" x14ac:dyDescent="0.3">
      <c r="B306" s="48">
        <v>7</v>
      </c>
      <c r="C306" s="77" t="str">
        <f>Services!B$10</f>
        <v>Learning management systems, including libraries, repositories, databases, educational web-services, services for storing information etc.</v>
      </c>
      <c r="D306" s="78"/>
      <c r="E306" s="78"/>
      <c r="F306" s="78"/>
      <c r="G306" s="79"/>
      <c r="H306" s="42">
        <v>375</v>
      </c>
      <c r="I306" s="43">
        <v>1.125</v>
      </c>
      <c r="J306" s="51">
        <v>0</v>
      </c>
      <c r="K306" s="51">
        <v>0</v>
      </c>
    </row>
    <row r="307" spans="2:11" ht="24.9" customHeight="1" x14ac:dyDescent="0.3">
      <c r="B307" s="48">
        <v>8</v>
      </c>
      <c r="C307" s="77" t="str">
        <f>Services!B$11</f>
        <v>Web-serfing, Search engines, bookmarking services, etc. E-mail, FTP and other classic services</v>
      </c>
      <c r="D307" s="78"/>
      <c r="E307" s="78"/>
      <c r="F307" s="78"/>
      <c r="G307" s="79"/>
      <c r="H307" s="42">
        <v>375</v>
      </c>
      <c r="I307" s="43">
        <v>1.125</v>
      </c>
      <c r="J307" s="51">
        <v>0</v>
      </c>
      <c r="K307" s="51">
        <v>0</v>
      </c>
    </row>
    <row r="308" spans="2:11" ht="24.9" customHeight="1" x14ac:dyDescent="0.3">
      <c r="B308" s="48">
        <v>9</v>
      </c>
      <c r="C308" s="77" t="str">
        <f>Services!B$12</f>
        <v>Discussion boards, Social media &amp; networks, forums etc.</v>
      </c>
      <c r="D308" s="78"/>
      <c r="E308" s="78"/>
      <c r="F308" s="78"/>
      <c r="G308" s="79"/>
      <c r="H308" s="42">
        <v>375</v>
      </c>
      <c r="I308" s="43">
        <v>1.125</v>
      </c>
      <c r="J308" s="51">
        <v>0</v>
      </c>
      <c r="K308" s="51">
        <v>0</v>
      </c>
    </row>
    <row r="309" spans="2:11" ht="24.9" customHeight="1" x14ac:dyDescent="0.3">
      <c r="B309" s="48">
        <v>10</v>
      </c>
      <c r="C309" s="77" t="str">
        <f>Services!B$13</f>
        <v>Calendars and organizers, including lessons planning. Government e-portal access. Reporting Services etc.</v>
      </c>
      <c r="D309" s="78"/>
      <c r="E309" s="78"/>
      <c r="F309" s="78"/>
      <c r="G309" s="79"/>
      <c r="H309" s="42">
        <v>375</v>
      </c>
      <c r="I309" s="43">
        <v>0.5625</v>
      </c>
      <c r="J309" s="51">
        <v>0</v>
      </c>
      <c r="K309" s="51">
        <v>0</v>
      </c>
    </row>
    <row r="310" spans="2:11" ht="24.9" customHeight="1" x14ac:dyDescent="0.3">
      <c r="B310" s="48">
        <v>11</v>
      </c>
      <c r="C310" s="77" t="str">
        <f>Services!B$14</f>
        <v>Other Non-Real Time Traffic Services</v>
      </c>
      <c r="D310" s="78"/>
      <c r="E310" s="78"/>
      <c r="F310" s="78"/>
      <c r="G310" s="79"/>
      <c r="H310" s="42">
        <v>375</v>
      </c>
      <c r="I310" s="43">
        <v>0.5625</v>
      </c>
      <c r="J310" s="51">
        <v>0</v>
      </c>
      <c r="K310" s="51">
        <v>0</v>
      </c>
    </row>
    <row r="311" spans="2:11" ht="24.9" customHeight="1" x14ac:dyDescent="0.3">
      <c r="B311" s="48">
        <v>12</v>
      </c>
      <c r="C311" s="77" t="str">
        <f>Services!B$15</f>
        <v>User Defined Service #1</v>
      </c>
      <c r="D311" s="78"/>
      <c r="E311" s="78"/>
      <c r="F311" s="78"/>
      <c r="G311" s="79"/>
      <c r="H311" s="42">
        <v>0</v>
      </c>
      <c r="I311" s="43">
        <v>0</v>
      </c>
      <c r="J311" s="51">
        <v>0</v>
      </c>
      <c r="K311" s="51">
        <v>0</v>
      </c>
    </row>
    <row r="312" spans="2:11" ht="24.9" customHeight="1" x14ac:dyDescent="0.3">
      <c r="B312" s="48">
        <v>13</v>
      </c>
      <c r="C312" s="77" t="str">
        <f>Services!B$16</f>
        <v>User Defined Service #2</v>
      </c>
      <c r="D312" s="78"/>
      <c r="E312" s="78"/>
      <c r="F312" s="78"/>
      <c r="G312" s="79"/>
      <c r="H312" s="42">
        <v>0</v>
      </c>
      <c r="I312" s="43">
        <v>0</v>
      </c>
      <c r="J312" s="51">
        <v>0</v>
      </c>
      <c r="K312" s="51">
        <v>0</v>
      </c>
    </row>
    <row r="313" spans="2:11" ht="24.9" customHeight="1" x14ac:dyDescent="0.3"/>
    <row r="314" spans="2:11" ht="24.9" customHeight="1" x14ac:dyDescent="0.3"/>
    <row r="315" spans="2:11" ht="24.9" customHeight="1" x14ac:dyDescent="0.3"/>
    <row r="316" spans="2:11" ht="24.9" customHeight="1" x14ac:dyDescent="0.3"/>
    <row r="317" spans="2:11" ht="24.9" customHeight="1" x14ac:dyDescent="0.3"/>
    <row r="318" spans="2:11" ht="24.9" customHeight="1" x14ac:dyDescent="0.3"/>
    <row r="319" spans="2:11" ht="24.9" customHeight="1" x14ac:dyDescent="0.3"/>
    <row r="320" spans="2:11" ht="24.9" customHeight="1" x14ac:dyDescent="0.3"/>
    <row r="321" spans="2:11" ht="24.9" customHeight="1" x14ac:dyDescent="0.3">
      <c r="B321" s="80" t="s">
        <v>85</v>
      </c>
      <c r="C321" s="80"/>
      <c r="D321" s="81" t="str">
        <f>Users!B15</f>
        <v>User Defined Group #2</v>
      </c>
      <c r="E321" s="82"/>
      <c r="F321" s="82"/>
      <c r="G321" s="82"/>
      <c r="H321" s="82"/>
      <c r="I321" s="82"/>
      <c r="J321" s="82"/>
      <c r="K321" s="82"/>
    </row>
    <row r="322" spans="2:11" ht="24.9" customHeight="1" x14ac:dyDescent="0.3">
      <c r="B322" s="52"/>
      <c r="C322" s="52"/>
    </row>
    <row r="323" spans="2:11" ht="24.9" customHeight="1" x14ac:dyDescent="0.3">
      <c r="B323" s="83" t="s">
        <v>3</v>
      </c>
      <c r="C323" s="83" t="s">
        <v>28</v>
      </c>
      <c r="D323" s="84"/>
      <c r="E323" s="84"/>
      <c r="F323" s="84"/>
      <c r="G323" s="84"/>
      <c r="H323" s="85" t="s">
        <v>48</v>
      </c>
      <c r="I323" s="85"/>
      <c r="J323" s="85"/>
      <c r="K323" s="85"/>
    </row>
    <row r="324" spans="2:11" ht="24.9" customHeight="1" x14ac:dyDescent="0.3">
      <c r="B324" s="83"/>
      <c r="C324" s="83"/>
      <c r="D324" s="84"/>
      <c r="E324" s="84"/>
      <c r="F324" s="84"/>
      <c r="G324" s="84"/>
      <c r="H324" s="85"/>
      <c r="I324" s="85"/>
      <c r="J324" s="85"/>
      <c r="K324" s="85"/>
    </row>
    <row r="325" spans="2:11" ht="57.6" x14ac:dyDescent="0.3">
      <c r="B325" s="83"/>
      <c r="C325" s="83"/>
      <c r="D325" s="84"/>
      <c r="E325" s="84"/>
      <c r="F325" s="84"/>
      <c r="G325" s="84"/>
      <c r="H325" s="53" t="s">
        <v>29</v>
      </c>
      <c r="I325" s="53" t="s">
        <v>30</v>
      </c>
      <c r="J325" s="54" t="s">
        <v>54</v>
      </c>
      <c r="K325" s="54" t="s">
        <v>31</v>
      </c>
    </row>
    <row r="326" spans="2:11" ht="24.9" customHeight="1" x14ac:dyDescent="0.3">
      <c r="B326" s="48">
        <v>1</v>
      </c>
      <c r="C326" s="77" t="str">
        <f>Services!B$4</f>
        <v>Streaming video, including interactive online TV, live-stream trainings, individualized live video instructions etc.</v>
      </c>
      <c r="D326" s="78"/>
      <c r="E326" s="78"/>
      <c r="F326" s="78"/>
      <c r="G326" s="79"/>
      <c r="H326" s="42">
        <v>250</v>
      </c>
      <c r="I326" s="43">
        <v>6</v>
      </c>
      <c r="J326" s="51">
        <v>0</v>
      </c>
      <c r="K326" s="51">
        <v>0</v>
      </c>
    </row>
    <row r="327" spans="2:11" ht="24.9" customHeight="1" x14ac:dyDescent="0.3">
      <c r="B327" s="48">
        <v>2</v>
      </c>
      <c r="C327" s="77" t="str">
        <f>Services!B$5</f>
        <v>Services for group &amp; individual communication, including webinars, conferences, meetings, tutoring, etc.</v>
      </c>
      <c r="D327" s="78"/>
      <c r="E327" s="78"/>
      <c r="F327" s="78"/>
      <c r="G327" s="79"/>
      <c r="H327" s="42">
        <v>100</v>
      </c>
      <c r="I327" s="43">
        <v>2.25</v>
      </c>
      <c r="J327" s="51">
        <v>0</v>
      </c>
      <c r="K327" s="51">
        <v>0</v>
      </c>
    </row>
    <row r="328" spans="2:11" ht="24.9" customHeight="1" x14ac:dyDescent="0.3">
      <c r="B328" s="48">
        <v>3</v>
      </c>
      <c r="C328" s="77" t="str">
        <f>Services!B$6</f>
        <v>Online virtual simulators, educational online games, etc.</v>
      </c>
      <c r="D328" s="78"/>
      <c r="E328" s="78"/>
      <c r="F328" s="78"/>
      <c r="G328" s="79"/>
      <c r="H328" s="42">
        <v>100</v>
      </c>
      <c r="I328" s="43">
        <v>1.125</v>
      </c>
      <c r="J328" s="51">
        <v>0</v>
      </c>
      <c r="K328" s="51">
        <v>0</v>
      </c>
    </row>
    <row r="329" spans="2:11" ht="24.9" customHeight="1" x14ac:dyDescent="0.3">
      <c r="B329" s="48">
        <v>4</v>
      </c>
      <c r="C329" s="77" t="str">
        <f>Services!B$7</f>
        <v>Services for group work (virtual boards, online graphics, etc.)</v>
      </c>
      <c r="D329" s="78"/>
      <c r="E329" s="78"/>
      <c r="F329" s="78"/>
      <c r="G329" s="79"/>
      <c r="H329" s="42">
        <v>100</v>
      </c>
      <c r="I329" s="43">
        <v>2.25</v>
      </c>
      <c r="J329" s="51">
        <v>0</v>
      </c>
      <c r="K329" s="51">
        <v>0</v>
      </c>
    </row>
    <row r="330" spans="2:11" ht="24.9" customHeight="1" x14ac:dyDescent="0.3">
      <c r="B330" s="48">
        <v>5</v>
      </c>
      <c r="C330" s="77" t="str">
        <f>Services!B$8</f>
        <v>Other Real Time Traffic Services</v>
      </c>
      <c r="D330" s="78"/>
      <c r="E330" s="78"/>
      <c r="F330" s="78"/>
      <c r="G330" s="79"/>
      <c r="H330" s="42">
        <v>250</v>
      </c>
      <c r="I330" s="43">
        <v>1.125</v>
      </c>
      <c r="J330" s="51">
        <v>0</v>
      </c>
      <c r="K330" s="51">
        <v>0</v>
      </c>
    </row>
    <row r="331" spans="2:11" ht="24.9" customHeight="1" x14ac:dyDescent="0.3">
      <c r="B331" s="48">
        <v>6</v>
      </c>
      <c r="C331" s="77" t="str">
        <f>Services!B$9</f>
        <v>Recorded educational clips, video instructions, trainings, Individualized recorded video, multimedia courses etc.</v>
      </c>
      <c r="D331" s="78"/>
      <c r="E331" s="78"/>
      <c r="F331" s="78"/>
      <c r="G331" s="79"/>
      <c r="H331" s="42">
        <v>250</v>
      </c>
      <c r="I331" s="43">
        <v>1.6875</v>
      </c>
      <c r="J331" s="51">
        <v>0</v>
      </c>
      <c r="K331" s="51">
        <v>0</v>
      </c>
    </row>
    <row r="332" spans="2:11" ht="24.9" customHeight="1" x14ac:dyDescent="0.3">
      <c r="B332" s="48">
        <v>7</v>
      </c>
      <c r="C332" s="77" t="str">
        <f>Services!B$10</f>
        <v>Learning management systems, including libraries, repositories, databases, educational web-services, services for storing information etc.</v>
      </c>
      <c r="D332" s="78"/>
      <c r="E332" s="78"/>
      <c r="F332" s="78"/>
      <c r="G332" s="79"/>
      <c r="H332" s="42">
        <v>375</v>
      </c>
      <c r="I332" s="43">
        <v>1.125</v>
      </c>
      <c r="J332" s="51">
        <v>0</v>
      </c>
      <c r="K332" s="51">
        <v>0</v>
      </c>
    </row>
    <row r="333" spans="2:11" ht="24.9" customHeight="1" x14ac:dyDescent="0.3">
      <c r="B333" s="48">
        <v>8</v>
      </c>
      <c r="C333" s="77" t="str">
        <f>Services!B$11</f>
        <v>Web-serfing, Search engines, bookmarking services, etc. E-mail, FTP and other classic services</v>
      </c>
      <c r="D333" s="78"/>
      <c r="E333" s="78"/>
      <c r="F333" s="78"/>
      <c r="G333" s="79"/>
      <c r="H333" s="42">
        <v>375</v>
      </c>
      <c r="I333" s="43">
        <v>1.125</v>
      </c>
      <c r="J333" s="51">
        <v>0</v>
      </c>
      <c r="K333" s="51">
        <v>0</v>
      </c>
    </row>
    <row r="334" spans="2:11" ht="24.9" customHeight="1" x14ac:dyDescent="0.3">
      <c r="B334" s="48">
        <v>9</v>
      </c>
      <c r="C334" s="77" t="str">
        <f>Services!B$12</f>
        <v>Discussion boards, Social media &amp; networks, forums etc.</v>
      </c>
      <c r="D334" s="78"/>
      <c r="E334" s="78"/>
      <c r="F334" s="78"/>
      <c r="G334" s="79"/>
      <c r="H334" s="42">
        <v>375</v>
      </c>
      <c r="I334" s="43">
        <v>1.125</v>
      </c>
      <c r="J334" s="51">
        <v>0</v>
      </c>
      <c r="K334" s="51">
        <v>0</v>
      </c>
    </row>
    <row r="335" spans="2:11" ht="24.9" customHeight="1" x14ac:dyDescent="0.3">
      <c r="B335" s="48">
        <v>10</v>
      </c>
      <c r="C335" s="77" t="str">
        <f>Services!B$13</f>
        <v>Calendars and organizers, including lessons planning. Government e-portal access. Reporting Services etc.</v>
      </c>
      <c r="D335" s="78"/>
      <c r="E335" s="78"/>
      <c r="F335" s="78"/>
      <c r="G335" s="79"/>
      <c r="H335" s="42">
        <v>375</v>
      </c>
      <c r="I335" s="43">
        <v>0.5625</v>
      </c>
      <c r="J335" s="51">
        <v>0</v>
      </c>
      <c r="K335" s="51">
        <v>0</v>
      </c>
    </row>
    <row r="336" spans="2:11" ht="24.9" customHeight="1" x14ac:dyDescent="0.3">
      <c r="B336" s="48">
        <v>11</v>
      </c>
      <c r="C336" s="77" t="str">
        <f>Services!B$14</f>
        <v>Other Non-Real Time Traffic Services</v>
      </c>
      <c r="D336" s="78"/>
      <c r="E336" s="78"/>
      <c r="F336" s="78"/>
      <c r="G336" s="79"/>
      <c r="H336" s="42">
        <v>375</v>
      </c>
      <c r="I336" s="43">
        <v>0.5625</v>
      </c>
      <c r="J336" s="51">
        <v>0</v>
      </c>
      <c r="K336" s="51">
        <v>0</v>
      </c>
    </row>
    <row r="337" spans="2:11" ht="24.9" customHeight="1" x14ac:dyDescent="0.3">
      <c r="B337" s="48">
        <v>12</v>
      </c>
      <c r="C337" s="77" t="str">
        <f>Services!B$15</f>
        <v>User Defined Service #1</v>
      </c>
      <c r="D337" s="78"/>
      <c r="E337" s="78"/>
      <c r="F337" s="78"/>
      <c r="G337" s="79"/>
      <c r="H337" s="42">
        <v>0</v>
      </c>
      <c r="I337" s="43">
        <v>0</v>
      </c>
      <c r="J337" s="51">
        <v>0</v>
      </c>
      <c r="K337" s="51">
        <v>0</v>
      </c>
    </row>
    <row r="338" spans="2:11" ht="24.9" customHeight="1" x14ac:dyDescent="0.3">
      <c r="B338" s="48">
        <v>13</v>
      </c>
      <c r="C338" s="77" t="str">
        <f>Services!B$16</f>
        <v>User Defined Service #2</v>
      </c>
      <c r="D338" s="78"/>
      <c r="E338" s="78"/>
      <c r="F338" s="78"/>
      <c r="G338" s="79"/>
      <c r="H338" s="42">
        <v>0</v>
      </c>
      <c r="I338" s="43">
        <v>0</v>
      </c>
      <c r="J338" s="51">
        <v>0</v>
      </c>
      <c r="K338" s="51">
        <v>0</v>
      </c>
    </row>
  </sheetData>
  <sheetProtection formatCells="0" formatColumns="0" formatRows="0" insertColumns="0" insertRows="0" insertHyperlinks="0" deleteColumns="0" deleteRows="0" sort="0" autoFilter="0" pivotTables="0"/>
  <mergeCells count="240">
    <mergeCell ref="C25:G25"/>
    <mergeCell ref="C26:G26"/>
    <mergeCell ref="C51:G51"/>
    <mergeCell ref="H4:M4"/>
    <mergeCell ref="H6:M6"/>
    <mergeCell ref="B4:G4"/>
    <mergeCell ref="B6:G6"/>
    <mergeCell ref="A2:K2"/>
    <mergeCell ref="C3:J3"/>
    <mergeCell ref="C21:G21"/>
    <mergeCell ref="C22:G22"/>
    <mergeCell ref="B9:C9"/>
    <mergeCell ref="B11:B13"/>
    <mergeCell ref="C14:G14"/>
    <mergeCell ref="C15:G15"/>
    <mergeCell ref="D9:K9"/>
    <mergeCell ref="C23:G23"/>
    <mergeCell ref="C24:G24"/>
    <mergeCell ref="C11:G13"/>
    <mergeCell ref="H11:K12"/>
    <mergeCell ref="C18:G18"/>
    <mergeCell ref="C19:G19"/>
    <mergeCell ref="C20:G20"/>
    <mergeCell ref="C16:G16"/>
    <mergeCell ref="B63:B65"/>
    <mergeCell ref="C63:G65"/>
    <mergeCell ref="H63:K64"/>
    <mergeCell ref="C66:G66"/>
    <mergeCell ref="C67:G67"/>
    <mergeCell ref="C48:G48"/>
    <mergeCell ref="C49:G49"/>
    <mergeCell ref="C50:G50"/>
    <mergeCell ref="C17:G17"/>
    <mergeCell ref="B61:C61"/>
    <mergeCell ref="D61:K61"/>
    <mergeCell ref="C47:G47"/>
    <mergeCell ref="B35:C35"/>
    <mergeCell ref="D35:K35"/>
    <mergeCell ref="B37:B39"/>
    <mergeCell ref="C37:G39"/>
    <mergeCell ref="H37:K38"/>
    <mergeCell ref="C42:G42"/>
    <mergeCell ref="C43:G43"/>
    <mergeCell ref="C44:G44"/>
    <mergeCell ref="C45:G45"/>
    <mergeCell ref="C46:G46"/>
    <mergeCell ref="C40:G40"/>
    <mergeCell ref="C41:G41"/>
    <mergeCell ref="C73:G73"/>
    <mergeCell ref="C74:G74"/>
    <mergeCell ref="C75:G75"/>
    <mergeCell ref="C76:G76"/>
    <mergeCell ref="B87:C87"/>
    <mergeCell ref="D87:K87"/>
    <mergeCell ref="C68:G68"/>
    <mergeCell ref="C69:G69"/>
    <mergeCell ref="C70:G70"/>
    <mergeCell ref="C71:G71"/>
    <mergeCell ref="C72:G72"/>
    <mergeCell ref="C94:G94"/>
    <mergeCell ref="C95:G95"/>
    <mergeCell ref="C96:G96"/>
    <mergeCell ref="C97:G97"/>
    <mergeCell ref="C98:G98"/>
    <mergeCell ref="B89:B91"/>
    <mergeCell ref="C89:G91"/>
    <mergeCell ref="H89:K90"/>
    <mergeCell ref="C92:G92"/>
    <mergeCell ref="C93:G93"/>
    <mergeCell ref="B115:B117"/>
    <mergeCell ref="C115:G117"/>
    <mergeCell ref="H115:K116"/>
    <mergeCell ref="C118:G118"/>
    <mergeCell ref="C119:G119"/>
    <mergeCell ref="C99:G99"/>
    <mergeCell ref="C100:G100"/>
    <mergeCell ref="C101:G101"/>
    <mergeCell ref="C102:G102"/>
    <mergeCell ref="B113:C113"/>
    <mergeCell ref="D113:K113"/>
    <mergeCell ref="B165:C165"/>
    <mergeCell ref="D165:K165"/>
    <mergeCell ref="C146:G146"/>
    <mergeCell ref="C147:G147"/>
    <mergeCell ref="C148:G148"/>
    <mergeCell ref="C149:G149"/>
    <mergeCell ref="C150:G150"/>
    <mergeCell ref="B141:B143"/>
    <mergeCell ref="C141:G143"/>
    <mergeCell ref="H141:K142"/>
    <mergeCell ref="C144:G144"/>
    <mergeCell ref="C145:G145"/>
    <mergeCell ref="C172:G172"/>
    <mergeCell ref="C173:G173"/>
    <mergeCell ref="C174:G174"/>
    <mergeCell ref="C175:G175"/>
    <mergeCell ref="C176:G176"/>
    <mergeCell ref="B167:B169"/>
    <mergeCell ref="C167:G169"/>
    <mergeCell ref="H167:K168"/>
    <mergeCell ref="C170:G170"/>
    <mergeCell ref="C171:G171"/>
    <mergeCell ref="B193:B195"/>
    <mergeCell ref="C193:G195"/>
    <mergeCell ref="H193:K194"/>
    <mergeCell ref="C196:G196"/>
    <mergeCell ref="C197:G197"/>
    <mergeCell ref="C177:G177"/>
    <mergeCell ref="C178:G178"/>
    <mergeCell ref="C179:G179"/>
    <mergeCell ref="C180:G180"/>
    <mergeCell ref="B191:C191"/>
    <mergeCell ref="D191:K191"/>
    <mergeCell ref="C181:G181"/>
    <mergeCell ref="C182:G182"/>
    <mergeCell ref="C203:G203"/>
    <mergeCell ref="C204:G204"/>
    <mergeCell ref="C205:G205"/>
    <mergeCell ref="C206:G206"/>
    <mergeCell ref="B217:C217"/>
    <mergeCell ref="D217:K217"/>
    <mergeCell ref="C198:G198"/>
    <mergeCell ref="C199:G199"/>
    <mergeCell ref="C200:G200"/>
    <mergeCell ref="C201:G201"/>
    <mergeCell ref="C202:G202"/>
    <mergeCell ref="C207:G207"/>
    <mergeCell ref="C208:G208"/>
    <mergeCell ref="C224:G224"/>
    <mergeCell ref="C225:G225"/>
    <mergeCell ref="C226:G226"/>
    <mergeCell ref="C227:G227"/>
    <mergeCell ref="C228:G228"/>
    <mergeCell ref="B219:B221"/>
    <mergeCell ref="C219:G221"/>
    <mergeCell ref="H219:K220"/>
    <mergeCell ref="C222:G222"/>
    <mergeCell ref="C223:G223"/>
    <mergeCell ref="B245:B247"/>
    <mergeCell ref="C245:G247"/>
    <mergeCell ref="H245:K246"/>
    <mergeCell ref="C248:G248"/>
    <mergeCell ref="C249:G249"/>
    <mergeCell ref="C229:G229"/>
    <mergeCell ref="C230:G230"/>
    <mergeCell ref="C231:G231"/>
    <mergeCell ref="C232:G232"/>
    <mergeCell ref="B243:C243"/>
    <mergeCell ref="D243:K243"/>
    <mergeCell ref="C233:G233"/>
    <mergeCell ref="C234:G234"/>
    <mergeCell ref="C255:G255"/>
    <mergeCell ref="C256:G256"/>
    <mergeCell ref="C257:G257"/>
    <mergeCell ref="C258:G258"/>
    <mergeCell ref="C250:G250"/>
    <mergeCell ref="C251:G251"/>
    <mergeCell ref="C252:G252"/>
    <mergeCell ref="C253:G253"/>
    <mergeCell ref="C254:G254"/>
    <mergeCell ref="C52:G52"/>
    <mergeCell ref="C77:G77"/>
    <mergeCell ref="C78:G78"/>
    <mergeCell ref="C103:G103"/>
    <mergeCell ref="C104:G104"/>
    <mergeCell ref="C129:G129"/>
    <mergeCell ref="C130:G130"/>
    <mergeCell ref="C155:G155"/>
    <mergeCell ref="C156:G156"/>
    <mergeCell ref="C151:G151"/>
    <mergeCell ref="C152:G152"/>
    <mergeCell ref="C153:G153"/>
    <mergeCell ref="C154:G154"/>
    <mergeCell ref="C125:G125"/>
    <mergeCell ref="C126:G126"/>
    <mergeCell ref="C127:G127"/>
    <mergeCell ref="C128:G128"/>
    <mergeCell ref="B139:C139"/>
    <mergeCell ref="D139:K139"/>
    <mergeCell ref="C120:G120"/>
    <mergeCell ref="C121:G121"/>
    <mergeCell ref="C122:G122"/>
    <mergeCell ref="C123:G123"/>
    <mergeCell ref="C124:G124"/>
    <mergeCell ref="C259:G259"/>
    <mergeCell ref="C260:G260"/>
    <mergeCell ref="B269:C269"/>
    <mergeCell ref="D269:K269"/>
    <mergeCell ref="B271:B273"/>
    <mergeCell ref="C271:G273"/>
    <mergeCell ref="H271:K272"/>
    <mergeCell ref="C274:G274"/>
    <mergeCell ref="C275:G275"/>
    <mergeCell ref="C276:G276"/>
    <mergeCell ref="C277:G277"/>
    <mergeCell ref="C278:G278"/>
    <mergeCell ref="C279:G279"/>
    <mergeCell ref="C280:G280"/>
    <mergeCell ref="C281:G281"/>
    <mergeCell ref="C282:G282"/>
    <mergeCell ref="C283:G283"/>
    <mergeCell ref="C284:G284"/>
    <mergeCell ref="C285:G285"/>
    <mergeCell ref="C286:G286"/>
    <mergeCell ref="B295:C295"/>
    <mergeCell ref="D295:K295"/>
    <mergeCell ref="B297:B299"/>
    <mergeCell ref="C297:G299"/>
    <mergeCell ref="H297:K298"/>
    <mergeCell ref="C300:G300"/>
    <mergeCell ref="C301:G301"/>
    <mergeCell ref="C302:G302"/>
    <mergeCell ref="C303:G303"/>
    <mergeCell ref="C304:G304"/>
    <mergeCell ref="C305:G305"/>
    <mergeCell ref="C306:G306"/>
    <mergeCell ref="C307:G307"/>
    <mergeCell ref="C308:G308"/>
    <mergeCell ref="C309:G309"/>
    <mergeCell ref="C310:G310"/>
    <mergeCell ref="C311:G311"/>
    <mergeCell ref="C312:G312"/>
    <mergeCell ref="B321:C321"/>
    <mergeCell ref="D321:K321"/>
    <mergeCell ref="B323:B325"/>
    <mergeCell ref="C323:G325"/>
    <mergeCell ref="H323:K324"/>
    <mergeCell ref="C326:G326"/>
    <mergeCell ref="C327:G327"/>
    <mergeCell ref="C337:G337"/>
    <mergeCell ref="C338:G338"/>
    <mergeCell ref="C328:G328"/>
    <mergeCell ref="C329:G329"/>
    <mergeCell ref="C330:G330"/>
    <mergeCell ref="C331:G331"/>
    <mergeCell ref="C332:G332"/>
    <mergeCell ref="C333:G333"/>
    <mergeCell ref="C334:G334"/>
    <mergeCell ref="C335:G335"/>
    <mergeCell ref="C336:G336"/>
  </mergeCell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ackToMainDetailed">
                <anchor moveWithCells="1" sizeWithCells="1">
                  <from>
                    <xdr:col>9</xdr:col>
                    <xdr:colOff>906780</xdr:colOff>
                    <xdr:row>0</xdr:row>
                    <xdr:rowOff>76200</xdr:rowOff>
                  </from>
                  <to>
                    <xdr:col>10</xdr:col>
                    <xdr:colOff>990600</xdr:colOff>
                    <xdr:row>1</xdr:row>
                    <xdr:rowOff>381000</xdr:rowOff>
                  </to>
                </anchor>
              </controlPr>
            </control>
          </mc:Choice>
        </mc:AlternateContent>
        <mc:AlternateContent xmlns:mc="http://schemas.openxmlformats.org/markup-compatibility/2006">
          <mc:Choice Requires="x14">
            <control shapeId="10242" r:id="rId5" name="Button 2">
              <controlPr defaultSize="0" print="0" autoFill="0" autoPict="0" macro="[0]!CalculateDetailed">
                <anchor moveWithCells="1" sizeWithCells="1">
                  <from>
                    <xdr:col>0</xdr:col>
                    <xdr:colOff>121920</xdr:colOff>
                    <xdr:row>3</xdr:row>
                    <xdr:rowOff>30480</xdr:rowOff>
                  </from>
                  <to>
                    <xdr:col>2</xdr:col>
                    <xdr:colOff>571500</xdr:colOff>
                    <xdr:row>6</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dimension ref="A2:R26"/>
  <sheetViews>
    <sheetView workbookViewId="0">
      <selection activeCell="H14" sqref="H14:K26"/>
    </sheetView>
  </sheetViews>
  <sheetFormatPr defaultColWidth="9.109375" defaultRowHeight="14.4" x14ac:dyDescent="0.3"/>
  <cols>
    <col min="1" max="1" width="7" style="38" customWidth="1"/>
    <col min="2" max="7" width="9.109375" style="38"/>
    <col min="8" max="11" width="14.6640625" style="38" customWidth="1"/>
    <col min="12" max="16384" width="9.109375" style="38"/>
  </cols>
  <sheetData>
    <row r="2" spans="1:18" ht="36" x14ac:dyDescent="0.3">
      <c r="A2" s="87" t="s">
        <v>2</v>
      </c>
      <c r="B2" s="88"/>
      <c r="C2" s="88"/>
      <c r="D2" s="88"/>
      <c r="E2" s="88"/>
      <c r="F2" s="88"/>
      <c r="G2" s="88"/>
      <c r="H2" s="88"/>
      <c r="I2" s="88"/>
      <c r="J2" s="88"/>
      <c r="K2" s="88"/>
      <c r="L2" s="37"/>
      <c r="M2" s="37"/>
      <c r="N2" s="37"/>
      <c r="O2" s="37"/>
      <c r="P2" s="37"/>
      <c r="Q2" s="37"/>
    </row>
    <row r="3" spans="1:18" ht="36" x14ac:dyDescent="0.3">
      <c r="C3" s="89"/>
      <c r="D3" s="82"/>
      <c r="E3" s="82"/>
      <c r="F3" s="82"/>
      <c r="G3" s="82"/>
      <c r="H3" s="82"/>
      <c r="I3" s="82"/>
      <c r="J3" s="82"/>
      <c r="K3" s="37"/>
      <c r="L3" s="37"/>
      <c r="M3" s="37"/>
      <c r="N3" s="37"/>
      <c r="O3" s="37"/>
      <c r="P3" s="37"/>
      <c r="Q3" s="37"/>
    </row>
    <row r="4" spans="1:18" ht="36" x14ac:dyDescent="0.3">
      <c r="B4" s="86" t="s">
        <v>44</v>
      </c>
      <c r="C4" s="86"/>
      <c r="D4" s="86"/>
      <c r="E4" s="86"/>
      <c r="F4" s="86"/>
      <c r="G4" s="86"/>
      <c r="H4" s="86" t="s">
        <v>76</v>
      </c>
      <c r="I4" s="86"/>
      <c r="J4" s="86"/>
      <c r="K4" s="86"/>
      <c r="L4" s="86"/>
      <c r="M4" s="86"/>
      <c r="N4" s="37"/>
      <c r="O4" s="37"/>
      <c r="P4" s="37"/>
      <c r="Q4" s="37"/>
    </row>
    <row r="5" spans="1:18" ht="7.5" customHeight="1" x14ac:dyDescent="0.3">
      <c r="H5" s="37"/>
      <c r="I5" s="37"/>
      <c r="J5" s="37"/>
      <c r="K5" s="37"/>
      <c r="L5" s="37"/>
      <c r="M5" s="37"/>
      <c r="N5" s="37"/>
      <c r="O5" s="37"/>
      <c r="P5" s="37"/>
      <c r="Q5" s="37"/>
    </row>
    <row r="6" spans="1:18" ht="21" x14ac:dyDescent="0.3">
      <c r="B6" s="86" t="s">
        <v>1</v>
      </c>
      <c r="C6" s="86"/>
      <c r="D6" s="86"/>
      <c r="E6" s="86"/>
      <c r="F6" s="86"/>
      <c r="G6" s="86"/>
      <c r="H6" s="86" t="s">
        <v>17</v>
      </c>
      <c r="I6" s="86"/>
      <c r="J6" s="86"/>
      <c r="K6" s="86"/>
      <c r="L6" s="86"/>
      <c r="M6" s="86"/>
      <c r="N6" s="39"/>
      <c r="O6" s="39"/>
      <c r="P6" s="39"/>
      <c r="Q6" s="39"/>
      <c r="R6" s="39"/>
    </row>
    <row r="9" spans="1:18" ht="15" customHeight="1" x14ac:dyDescent="0.3">
      <c r="B9" s="80" t="s">
        <v>49</v>
      </c>
      <c r="C9" s="80"/>
      <c r="D9" s="81"/>
      <c r="E9" s="82"/>
      <c r="F9" s="82"/>
      <c r="G9" s="82"/>
      <c r="H9" s="82"/>
      <c r="I9" s="82"/>
      <c r="J9" s="82"/>
      <c r="K9" s="82"/>
      <c r="L9" s="40"/>
      <c r="M9" s="40"/>
      <c r="N9" s="40"/>
      <c r="O9" s="40"/>
      <c r="P9" s="40"/>
    </row>
    <row r="10" spans="1:18" x14ac:dyDescent="0.3">
      <c r="B10" s="41"/>
      <c r="C10" s="41"/>
    </row>
    <row r="11" spans="1:18" x14ac:dyDescent="0.3">
      <c r="B11" s="83" t="s">
        <v>3</v>
      </c>
      <c r="C11" s="83" t="s">
        <v>28</v>
      </c>
      <c r="D11" s="84"/>
      <c r="E11" s="84"/>
      <c r="F11" s="84"/>
      <c r="G11" s="84"/>
      <c r="H11" s="85" t="s">
        <v>48</v>
      </c>
      <c r="I11" s="85"/>
      <c r="J11" s="85"/>
      <c r="K11" s="85"/>
    </row>
    <row r="12" spans="1:18" x14ac:dyDescent="0.3">
      <c r="B12" s="83"/>
      <c r="C12" s="83"/>
      <c r="D12" s="84"/>
      <c r="E12" s="84"/>
      <c r="F12" s="84"/>
      <c r="G12" s="84"/>
      <c r="H12" s="85"/>
      <c r="I12" s="85"/>
      <c r="J12" s="85"/>
      <c r="K12" s="85"/>
    </row>
    <row r="13" spans="1:18" ht="57.6" x14ac:dyDescent="0.3">
      <c r="B13" s="83"/>
      <c r="C13" s="83"/>
      <c r="D13" s="84"/>
      <c r="E13" s="84"/>
      <c r="F13" s="84"/>
      <c r="G13" s="84"/>
      <c r="H13" s="11" t="s">
        <v>29</v>
      </c>
      <c r="I13" s="11" t="s">
        <v>30</v>
      </c>
      <c r="J13" s="15" t="s">
        <v>54</v>
      </c>
      <c r="K13" s="15" t="s">
        <v>31</v>
      </c>
    </row>
    <row r="14" spans="1:18" ht="42" customHeight="1" x14ac:dyDescent="0.3">
      <c r="B14" s="48">
        <v>1</v>
      </c>
      <c r="C14" s="90" t="str">
        <f>Services!B$4</f>
        <v>Streaming video, including interactive online TV, live-stream trainings, individualized live video instructions etc.</v>
      </c>
      <c r="D14" s="91"/>
      <c r="E14" s="91"/>
      <c r="F14" s="91"/>
      <c r="G14" s="92"/>
      <c r="H14" s="42">
        <v>1000</v>
      </c>
      <c r="I14" s="43">
        <v>2</v>
      </c>
      <c r="J14" s="51">
        <v>0.21</v>
      </c>
      <c r="K14" s="51">
        <v>137.5</v>
      </c>
    </row>
    <row r="15" spans="1:18" ht="42" customHeight="1" x14ac:dyDescent="0.3">
      <c r="B15" s="48">
        <v>2</v>
      </c>
      <c r="C15" s="90" t="str">
        <f>Services!B$5</f>
        <v>Services for group &amp; individual communication, including webinars, conferences, meetings, tutoring, etc.</v>
      </c>
      <c r="D15" s="91"/>
      <c r="E15" s="91"/>
      <c r="F15" s="91"/>
      <c r="G15" s="92"/>
      <c r="H15" s="42">
        <v>400</v>
      </c>
      <c r="I15" s="43">
        <v>1</v>
      </c>
      <c r="J15" s="51">
        <v>2E-3</v>
      </c>
      <c r="K15" s="51">
        <v>67.5</v>
      </c>
    </row>
    <row r="16" spans="1:18" ht="42" customHeight="1" x14ac:dyDescent="0.3">
      <c r="B16" s="48">
        <v>3</v>
      </c>
      <c r="C16" s="90" t="str">
        <f>Services!B$6</f>
        <v>Online virtual simulators, educational online games, etc.</v>
      </c>
      <c r="D16" s="91"/>
      <c r="E16" s="91"/>
      <c r="F16" s="91"/>
      <c r="G16" s="92"/>
      <c r="H16" s="42">
        <v>400</v>
      </c>
      <c r="I16" s="43">
        <v>0.5</v>
      </c>
      <c r="J16" s="51">
        <v>4.0000000000000001E-3</v>
      </c>
      <c r="K16" s="51">
        <v>50</v>
      </c>
    </row>
    <row r="17" spans="2:11" ht="42" customHeight="1" x14ac:dyDescent="0.3">
      <c r="B17" s="48">
        <v>4</v>
      </c>
      <c r="C17" s="90" t="str">
        <f>Services!B$7</f>
        <v>Services for group work (virtual boards, online graphics, etc.)</v>
      </c>
      <c r="D17" s="91"/>
      <c r="E17" s="91"/>
      <c r="F17" s="91"/>
      <c r="G17" s="92"/>
      <c r="H17" s="42">
        <v>400</v>
      </c>
      <c r="I17" s="43">
        <v>1</v>
      </c>
      <c r="J17" s="51">
        <v>2.5000000000000001E-3</v>
      </c>
      <c r="K17" s="51">
        <v>25</v>
      </c>
    </row>
    <row r="18" spans="2:11" ht="42" customHeight="1" x14ac:dyDescent="0.3">
      <c r="B18" s="48">
        <v>5</v>
      </c>
      <c r="C18" s="90" t="str">
        <f>Services!B$8</f>
        <v>Other Real Time Traffic Services</v>
      </c>
      <c r="D18" s="91"/>
      <c r="E18" s="91"/>
      <c r="F18" s="91"/>
      <c r="G18" s="92"/>
      <c r="H18" s="42">
        <v>1000</v>
      </c>
      <c r="I18" s="43">
        <v>0.5</v>
      </c>
      <c r="J18" s="51">
        <v>2.5000000000000001E-3</v>
      </c>
      <c r="K18" s="51">
        <v>50</v>
      </c>
    </row>
    <row r="19" spans="2:11" ht="42" customHeight="1" x14ac:dyDescent="0.3">
      <c r="B19" s="48">
        <v>6</v>
      </c>
      <c r="C19" s="90" t="str">
        <f>Services!B$9</f>
        <v>Recorded educational clips, video instructions, trainings, Individualized recorded video, multimedia courses etc.</v>
      </c>
      <c r="D19" s="91"/>
      <c r="E19" s="91"/>
      <c r="F19" s="91"/>
      <c r="G19" s="92"/>
      <c r="H19" s="42">
        <v>1000</v>
      </c>
      <c r="I19" s="43">
        <v>0.75</v>
      </c>
      <c r="J19" s="51">
        <v>1.25E-3</v>
      </c>
      <c r="K19" s="51">
        <v>125</v>
      </c>
    </row>
    <row r="20" spans="2:11" ht="42" customHeight="1" x14ac:dyDescent="0.3">
      <c r="B20" s="48">
        <v>7</v>
      </c>
      <c r="C20" s="90" t="str">
        <f>Services!B$10</f>
        <v>Learning management systems, including libraries, repositories, databases, educational web-services, services for storing information etc.</v>
      </c>
      <c r="D20" s="91"/>
      <c r="E20" s="91"/>
      <c r="F20" s="91"/>
      <c r="G20" s="92"/>
      <c r="H20" s="42">
        <v>1500</v>
      </c>
      <c r="I20" s="43">
        <v>0.5</v>
      </c>
      <c r="J20" s="51">
        <v>0.04</v>
      </c>
      <c r="K20" s="51">
        <v>2.5</v>
      </c>
    </row>
    <row r="21" spans="2:11" ht="42" customHeight="1" x14ac:dyDescent="0.3">
      <c r="B21" s="48">
        <v>8</v>
      </c>
      <c r="C21" s="90" t="str">
        <f>Services!B$11</f>
        <v>Web-serfing, Search engines, bookmarking services, etc. E-mail, FTP and other classic services</v>
      </c>
      <c r="D21" s="91"/>
      <c r="E21" s="91"/>
      <c r="F21" s="91"/>
      <c r="G21" s="92"/>
      <c r="H21" s="42">
        <v>1500</v>
      </c>
      <c r="I21" s="43">
        <v>0.5</v>
      </c>
      <c r="J21" s="51">
        <v>0.17</v>
      </c>
      <c r="K21" s="51">
        <v>2.5</v>
      </c>
    </row>
    <row r="22" spans="2:11" ht="42" customHeight="1" x14ac:dyDescent="0.3">
      <c r="B22" s="48">
        <v>9</v>
      </c>
      <c r="C22" s="90" t="str">
        <f>Services!B$12</f>
        <v>Discussion boards, Social media &amp; networks, forums etc.</v>
      </c>
      <c r="D22" s="91"/>
      <c r="E22" s="91"/>
      <c r="F22" s="91"/>
      <c r="G22" s="92"/>
      <c r="H22" s="42">
        <v>1500</v>
      </c>
      <c r="I22" s="43">
        <v>0.5</v>
      </c>
      <c r="J22" s="51">
        <v>8.7499999999999994E-2</v>
      </c>
      <c r="K22" s="51">
        <v>0.75</v>
      </c>
    </row>
    <row r="23" spans="2:11" ht="42" customHeight="1" x14ac:dyDescent="0.3">
      <c r="B23" s="48">
        <v>10</v>
      </c>
      <c r="C23" s="90" t="str">
        <f>Services!B$13</f>
        <v>Calendars and organizers, including lessons planning. Government e-portal access. Reporting Services etc.</v>
      </c>
      <c r="D23" s="91"/>
      <c r="E23" s="91"/>
      <c r="F23" s="91"/>
      <c r="G23" s="92"/>
      <c r="H23" s="42">
        <v>1500</v>
      </c>
      <c r="I23" s="43">
        <v>0.25</v>
      </c>
      <c r="J23" s="51">
        <v>0.1</v>
      </c>
      <c r="K23" s="51">
        <v>0.75</v>
      </c>
    </row>
    <row r="24" spans="2:11" ht="42" customHeight="1" x14ac:dyDescent="0.3">
      <c r="B24" s="48">
        <v>11</v>
      </c>
      <c r="C24" s="90" t="str">
        <f>Services!B$14</f>
        <v>Other Non-Real Time Traffic Services</v>
      </c>
      <c r="D24" s="91"/>
      <c r="E24" s="91"/>
      <c r="F24" s="91"/>
      <c r="G24" s="92"/>
      <c r="H24" s="42">
        <v>1500</v>
      </c>
      <c r="I24" s="43">
        <v>0.25</v>
      </c>
      <c r="J24" s="51">
        <v>0.1</v>
      </c>
      <c r="K24" s="51">
        <v>0.75</v>
      </c>
    </row>
    <row r="25" spans="2:11" x14ac:dyDescent="0.3">
      <c r="B25" s="48">
        <v>12</v>
      </c>
      <c r="C25" s="90" t="str">
        <f>Services!B$15</f>
        <v>User Defined Service #1</v>
      </c>
      <c r="D25" s="91"/>
      <c r="E25" s="91"/>
      <c r="F25" s="91"/>
      <c r="G25" s="92"/>
      <c r="H25" s="42">
        <v>0</v>
      </c>
      <c r="I25" s="43">
        <v>0</v>
      </c>
      <c r="J25" s="51">
        <v>0</v>
      </c>
      <c r="K25" s="51">
        <v>0</v>
      </c>
    </row>
    <row r="26" spans="2:11" x14ac:dyDescent="0.3">
      <c r="B26" s="48">
        <v>13</v>
      </c>
      <c r="C26" s="90" t="str">
        <f>Services!B$16</f>
        <v>User Defined Service #2</v>
      </c>
      <c r="D26" s="91"/>
      <c r="E26" s="91"/>
      <c r="F26" s="91"/>
      <c r="G26" s="92"/>
      <c r="H26" s="42">
        <v>0</v>
      </c>
      <c r="I26" s="43">
        <v>0</v>
      </c>
      <c r="J26" s="51">
        <v>0</v>
      </c>
      <c r="K26" s="51">
        <v>0</v>
      </c>
    </row>
  </sheetData>
  <sheetProtection formatCells="0" formatColumns="0" formatRows="0" insertColumns="0" insertRows="0" insertHyperlinks="0" deleteColumns="0" deleteRows="0" sort="0" autoFilter="0" pivotTables="0"/>
  <mergeCells count="24">
    <mergeCell ref="C16:G16"/>
    <mergeCell ref="A2:K2"/>
    <mergeCell ref="C3:J3"/>
    <mergeCell ref="B4:G4"/>
    <mergeCell ref="B6:G6"/>
    <mergeCell ref="B9:C9"/>
    <mergeCell ref="D9:K9"/>
    <mergeCell ref="H4:M4"/>
    <mergeCell ref="H6:M6"/>
    <mergeCell ref="B11:B13"/>
    <mergeCell ref="C11:G13"/>
    <mergeCell ref="H11:K12"/>
    <mergeCell ref="C14:G14"/>
    <mergeCell ref="C15:G15"/>
    <mergeCell ref="C25:G25"/>
    <mergeCell ref="C26:G26"/>
    <mergeCell ref="C23:G23"/>
    <mergeCell ref="C24:G24"/>
    <mergeCell ref="C17:G17"/>
    <mergeCell ref="C18:G18"/>
    <mergeCell ref="C19:G19"/>
    <mergeCell ref="C20:G20"/>
    <mergeCell ref="C21:G21"/>
    <mergeCell ref="C22:G22"/>
  </mergeCell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ckToMainMean">
                <anchor moveWithCells="1" sizeWithCells="1">
                  <from>
                    <xdr:col>9</xdr:col>
                    <xdr:colOff>906780</xdr:colOff>
                    <xdr:row>0</xdr:row>
                    <xdr:rowOff>76200</xdr:rowOff>
                  </from>
                  <to>
                    <xdr:col>10</xdr:col>
                    <xdr:colOff>990600</xdr:colOff>
                    <xdr:row>1</xdr:row>
                    <xdr:rowOff>381000</xdr:rowOff>
                  </to>
                </anchor>
              </controlPr>
            </control>
          </mc:Choice>
        </mc:AlternateContent>
        <mc:AlternateContent xmlns:mc="http://schemas.openxmlformats.org/markup-compatibility/2006">
          <mc:Choice Requires="x14">
            <control shapeId="16386" r:id="rId5" name="Button 2">
              <controlPr defaultSize="0" print="0" autoFill="0" autoPict="0" macro="[0]!CalculateMean">
                <anchor moveWithCells="1" sizeWithCells="1">
                  <from>
                    <xdr:col>0</xdr:col>
                    <xdr:colOff>198120</xdr:colOff>
                    <xdr:row>3</xdr:row>
                    <xdr:rowOff>106680</xdr:rowOff>
                  </from>
                  <to>
                    <xdr:col>2</xdr:col>
                    <xdr:colOff>541020</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N100"/>
  <sheetViews>
    <sheetView zoomScale="80" zoomScaleNormal="80" workbookViewId="0">
      <selection activeCell="K8" sqref="K8"/>
    </sheetView>
  </sheetViews>
  <sheetFormatPr defaultColWidth="9.109375" defaultRowHeight="14.4" x14ac:dyDescent="0.3"/>
  <cols>
    <col min="1" max="1" width="7.33203125" style="2" bestFit="1" customWidth="1"/>
    <col min="2" max="2" width="53.33203125" style="2" customWidth="1"/>
    <col min="3" max="3" width="11.88671875" style="2" customWidth="1"/>
    <col min="4" max="14" width="11.6640625" style="2" customWidth="1"/>
    <col min="15" max="15" width="9.109375" style="2"/>
    <col min="16" max="16" width="11.5546875" style="2" bestFit="1" customWidth="1"/>
    <col min="17" max="17" width="10.5546875" style="2" bestFit="1" customWidth="1"/>
    <col min="18" max="16384" width="9.109375" style="2"/>
  </cols>
  <sheetData>
    <row r="1" spans="1:14" ht="15" thickBot="1" x14ac:dyDescent="0.35">
      <c r="A1" s="83" t="s">
        <v>3</v>
      </c>
      <c r="B1" s="83" t="s">
        <v>28</v>
      </c>
      <c r="C1" s="94" t="s">
        <v>1</v>
      </c>
      <c r="D1" s="94"/>
      <c r="E1" s="95"/>
      <c r="F1" s="95"/>
      <c r="G1" s="94"/>
      <c r="H1" s="94"/>
      <c r="I1" s="96" t="s">
        <v>55</v>
      </c>
      <c r="J1" s="96"/>
      <c r="K1" s="97"/>
      <c r="L1" s="97"/>
      <c r="M1" s="96"/>
      <c r="N1" s="96"/>
    </row>
    <row r="2" spans="1:14" ht="15" thickTop="1" x14ac:dyDescent="0.3">
      <c r="A2" s="83"/>
      <c r="B2" s="83"/>
      <c r="C2" s="98" t="s">
        <v>17</v>
      </c>
      <c r="D2" s="99"/>
      <c r="E2" s="100" t="s">
        <v>21</v>
      </c>
      <c r="F2" s="101"/>
      <c r="G2" s="102" t="s">
        <v>18</v>
      </c>
      <c r="H2" s="103"/>
      <c r="I2" s="104" t="s">
        <v>17</v>
      </c>
      <c r="J2" s="105"/>
      <c r="K2" s="106" t="s">
        <v>21</v>
      </c>
      <c r="L2" s="107"/>
      <c r="M2" s="108" t="s">
        <v>18</v>
      </c>
      <c r="N2" s="109"/>
    </row>
    <row r="3" spans="1:14" ht="87" thickBot="1" x14ac:dyDescent="0.35">
      <c r="A3" s="83"/>
      <c r="B3" s="83"/>
      <c r="C3" s="11" t="s">
        <v>29</v>
      </c>
      <c r="D3" s="12" t="s">
        <v>30</v>
      </c>
      <c r="E3" s="56" t="s">
        <v>29</v>
      </c>
      <c r="F3" s="57" t="s">
        <v>30</v>
      </c>
      <c r="G3" s="13" t="s">
        <v>29</v>
      </c>
      <c r="H3" s="14" t="s">
        <v>30</v>
      </c>
      <c r="I3" s="15" t="s">
        <v>54</v>
      </c>
      <c r="J3" s="16" t="s">
        <v>31</v>
      </c>
      <c r="K3" s="62" t="s">
        <v>54</v>
      </c>
      <c r="L3" s="63" t="s">
        <v>31</v>
      </c>
      <c r="M3" s="17" t="s">
        <v>54</v>
      </c>
      <c r="N3" s="18" t="s">
        <v>31</v>
      </c>
    </row>
    <row r="4" spans="1:14" ht="50.1" customHeight="1" thickBot="1" x14ac:dyDescent="0.35">
      <c r="A4" s="19">
        <v>1</v>
      </c>
      <c r="B4" s="48" t="s">
        <v>59</v>
      </c>
      <c r="C4" s="70">
        <v>1000</v>
      </c>
      <c r="D4" s="72">
        <v>2</v>
      </c>
      <c r="E4" s="70">
        <v>500</v>
      </c>
      <c r="F4" s="72">
        <v>4</v>
      </c>
      <c r="G4" s="22">
        <f>E4-E4*QLs!$D$4</f>
        <v>250</v>
      </c>
      <c r="H4" s="23">
        <f>F4+F4*QLs!$D$4</f>
        <v>6</v>
      </c>
      <c r="I4" s="24">
        <f>K4+K4*QLs!$D$2</f>
        <v>0.21</v>
      </c>
      <c r="J4" s="25">
        <f>L4+L4*QLs!$D$2</f>
        <v>137.5</v>
      </c>
      <c r="K4" s="72">
        <v>0.42</v>
      </c>
      <c r="L4" s="72">
        <v>275</v>
      </c>
      <c r="M4" s="26">
        <f>K4+K4*QLs!$D$4</f>
        <v>0.63</v>
      </c>
      <c r="N4" s="27">
        <f>L4+L4*QLs!$D$4</f>
        <v>412.5</v>
      </c>
    </row>
    <row r="5" spans="1:14" ht="50.1" customHeight="1" thickBot="1" x14ac:dyDescent="0.35">
      <c r="A5" s="19">
        <v>2</v>
      </c>
      <c r="B5" s="48" t="s">
        <v>60</v>
      </c>
      <c r="C5" s="71">
        <v>400</v>
      </c>
      <c r="D5" s="73">
        <v>1</v>
      </c>
      <c r="E5" s="71">
        <v>200</v>
      </c>
      <c r="F5" s="73">
        <v>1.5</v>
      </c>
      <c r="G5" s="22">
        <f>E5-E5*QLs!$D$4</f>
        <v>100</v>
      </c>
      <c r="H5" s="23">
        <f>F5+F5*QLs!$D$4</f>
        <v>2.25</v>
      </c>
      <c r="I5" s="24">
        <f>K5+K5*QLs!$D$2</f>
        <v>2E-3</v>
      </c>
      <c r="J5" s="25">
        <f>L5+L5*QLs!$D$2</f>
        <v>67.5</v>
      </c>
      <c r="K5" s="73">
        <v>4.0000000000000001E-3</v>
      </c>
      <c r="L5" s="73">
        <v>135</v>
      </c>
      <c r="M5" s="26">
        <f>K5+K5*QLs!$D$4</f>
        <v>6.0000000000000001E-3</v>
      </c>
      <c r="N5" s="27">
        <f>L5+L5*QLs!$D$4</f>
        <v>202.5</v>
      </c>
    </row>
    <row r="6" spans="1:14" ht="50.1" customHeight="1" thickBot="1" x14ac:dyDescent="0.35">
      <c r="A6" s="19">
        <v>3</v>
      </c>
      <c r="B6" s="48" t="s">
        <v>61</v>
      </c>
      <c r="C6" s="71">
        <v>400</v>
      </c>
      <c r="D6" s="73">
        <v>0.5</v>
      </c>
      <c r="E6" s="71">
        <v>200</v>
      </c>
      <c r="F6" s="73">
        <v>0.75</v>
      </c>
      <c r="G6" s="22">
        <f>E6-E6*QLs!$D$4</f>
        <v>100</v>
      </c>
      <c r="H6" s="23">
        <f>F6+F6*QLs!$D$4</f>
        <v>1.125</v>
      </c>
      <c r="I6" s="24">
        <f>K6+K6*QLs!$D$2</f>
        <v>4.0000000000000001E-3</v>
      </c>
      <c r="J6" s="25">
        <f>L6+L6*QLs!$D$2</f>
        <v>50</v>
      </c>
      <c r="K6" s="73">
        <v>8.0000000000000002E-3</v>
      </c>
      <c r="L6" s="73">
        <v>100</v>
      </c>
      <c r="M6" s="26">
        <f>K6+K6*QLs!$D$4</f>
        <v>1.2E-2</v>
      </c>
      <c r="N6" s="27">
        <f>L6+L6*QLs!$D$4</f>
        <v>150</v>
      </c>
    </row>
    <row r="7" spans="1:14" ht="50.1" customHeight="1" thickBot="1" x14ac:dyDescent="0.35">
      <c r="A7" s="19">
        <v>4</v>
      </c>
      <c r="B7" s="48" t="s">
        <v>62</v>
      </c>
      <c r="C7" s="71">
        <v>400</v>
      </c>
      <c r="D7" s="73">
        <v>1</v>
      </c>
      <c r="E7" s="71">
        <v>200</v>
      </c>
      <c r="F7" s="73">
        <v>1.5</v>
      </c>
      <c r="G7" s="22">
        <f>E7-E7*QLs!$D$4</f>
        <v>100</v>
      </c>
      <c r="H7" s="23">
        <f>F7+F7*QLs!$D$4</f>
        <v>2.25</v>
      </c>
      <c r="I7" s="24">
        <f>K7+K7*QLs!$D$2</f>
        <v>2.5000000000000001E-3</v>
      </c>
      <c r="J7" s="25">
        <f>L7+L7*QLs!$D$2</f>
        <v>25</v>
      </c>
      <c r="K7" s="73">
        <v>5.0000000000000001E-3</v>
      </c>
      <c r="L7" s="73">
        <v>50</v>
      </c>
      <c r="M7" s="26">
        <f>K7+K7*QLs!$D$4</f>
        <v>7.4999999999999997E-3</v>
      </c>
      <c r="N7" s="27">
        <f>L7+L7*QLs!$D$4</f>
        <v>75</v>
      </c>
    </row>
    <row r="8" spans="1:14" ht="50.1" customHeight="1" thickBot="1" x14ac:dyDescent="0.35">
      <c r="A8" s="19">
        <v>5</v>
      </c>
      <c r="B8" s="48" t="s">
        <v>63</v>
      </c>
      <c r="C8" s="71">
        <v>1000</v>
      </c>
      <c r="D8" s="73">
        <v>0.5</v>
      </c>
      <c r="E8" s="71">
        <v>500</v>
      </c>
      <c r="F8" s="73">
        <v>0.75</v>
      </c>
      <c r="G8" s="22">
        <f>E8-E8*QLs!$D$4</f>
        <v>250</v>
      </c>
      <c r="H8" s="23">
        <f>F8+F8*QLs!$D$4</f>
        <v>1.125</v>
      </c>
      <c r="I8" s="24">
        <f>K8+K8*QLs!$D$2</f>
        <v>2.5000000000000001E-3</v>
      </c>
      <c r="J8" s="25">
        <f>L8+L8*QLs!$D$2</f>
        <v>50</v>
      </c>
      <c r="K8" s="73">
        <v>5.0000000000000001E-3</v>
      </c>
      <c r="L8" s="73">
        <v>100</v>
      </c>
      <c r="M8" s="26">
        <f>K8+K8*QLs!$D$4</f>
        <v>7.4999999999999997E-3</v>
      </c>
      <c r="N8" s="27">
        <f>L8+L8*QLs!$D$4</f>
        <v>150</v>
      </c>
    </row>
    <row r="9" spans="1:14" ht="50.1" customHeight="1" thickBot="1" x14ac:dyDescent="0.35">
      <c r="A9" s="19">
        <v>6</v>
      </c>
      <c r="B9" s="48" t="s">
        <v>64</v>
      </c>
      <c r="C9" s="71">
        <v>1000</v>
      </c>
      <c r="D9" s="73">
        <v>0.75</v>
      </c>
      <c r="E9" s="71">
        <v>500</v>
      </c>
      <c r="F9" s="73">
        <v>1.125</v>
      </c>
      <c r="G9" s="22">
        <f>E9-E9*QLs!$D$4</f>
        <v>250</v>
      </c>
      <c r="H9" s="23">
        <f>F9+F9*QLs!$D$4</f>
        <v>1.6875</v>
      </c>
      <c r="I9" s="24">
        <f>K9+K9*QLs!$D$2</f>
        <v>1.25E-3</v>
      </c>
      <c r="J9" s="25">
        <f>L9+L9*QLs!$D$2</f>
        <v>125</v>
      </c>
      <c r="K9" s="73">
        <v>2.5000000000000001E-3</v>
      </c>
      <c r="L9" s="73">
        <v>250</v>
      </c>
      <c r="M9" s="26">
        <f>K9+K9*QLs!$D$4</f>
        <v>3.7499999999999999E-3</v>
      </c>
      <c r="N9" s="27">
        <f>L9+L9*QLs!$D$4</f>
        <v>375</v>
      </c>
    </row>
    <row r="10" spans="1:14" ht="50.1" customHeight="1" thickBot="1" x14ac:dyDescent="0.35">
      <c r="A10" s="19">
        <v>7</v>
      </c>
      <c r="B10" s="48" t="s">
        <v>75</v>
      </c>
      <c r="C10" s="71">
        <v>1500</v>
      </c>
      <c r="D10" s="73">
        <v>0.5</v>
      </c>
      <c r="E10" s="71">
        <v>750</v>
      </c>
      <c r="F10" s="73">
        <v>0.75</v>
      </c>
      <c r="G10" s="22">
        <f>E10-E10*QLs!$D$4</f>
        <v>375</v>
      </c>
      <c r="H10" s="23">
        <f>F10+F10*QLs!$D$4</f>
        <v>1.125</v>
      </c>
      <c r="I10" s="24">
        <f>K10+K10*QLs!$D$2</f>
        <v>0.04</v>
      </c>
      <c r="J10" s="25">
        <f>L10+L10*QLs!$D$2</f>
        <v>2.5</v>
      </c>
      <c r="K10" s="73">
        <v>0.08</v>
      </c>
      <c r="L10" s="73">
        <v>5</v>
      </c>
      <c r="M10" s="26">
        <v>1</v>
      </c>
      <c r="N10" s="27">
        <v>100</v>
      </c>
    </row>
    <row r="11" spans="1:14" ht="50.1" customHeight="1" thickBot="1" x14ac:dyDescent="0.35">
      <c r="A11" s="19">
        <v>8</v>
      </c>
      <c r="B11" s="48" t="s">
        <v>65</v>
      </c>
      <c r="C11" s="71">
        <v>1500</v>
      </c>
      <c r="D11" s="73">
        <v>0.5</v>
      </c>
      <c r="E11" s="71">
        <v>750</v>
      </c>
      <c r="F11" s="73">
        <v>0.75</v>
      </c>
      <c r="G11" s="22">
        <f>E11-E11*QLs!$D$4</f>
        <v>375</v>
      </c>
      <c r="H11" s="23">
        <f>F11+F11*QLs!$D$4</f>
        <v>1.125</v>
      </c>
      <c r="I11" s="24">
        <f>K11+K11*QLs!$D$2</f>
        <v>0.17</v>
      </c>
      <c r="J11" s="25">
        <f>L11+L11*QLs!$D$2</f>
        <v>2.5</v>
      </c>
      <c r="K11" s="73">
        <v>0.34</v>
      </c>
      <c r="L11" s="73">
        <v>5</v>
      </c>
      <c r="M11" s="26">
        <f>K11+K11*QLs!$D$4</f>
        <v>0.51</v>
      </c>
      <c r="N11" s="27">
        <f>L11+L11*QLs!$D$4</f>
        <v>7.5</v>
      </c>
    </row>
    <row r="12" spans="1:14" ht="50.1" customHeight="1" thickBot="1" x14ac:dyDescent="0.35">
      <c r="A12" s="19">
        <v>9</v>
      </c>
      <c r="B12" s="48" t="s">
        <v>66</v>
      </c>
      <c r="C12" s="71">
        <v>1500</v>
      </c>
      <c r="D12" s="73">
        <v>0.5</v>
      </c>
      <c r="E12" s="71">
        <v>750</v>
      </c>
      <c r="F12" s="73">
        <v>0.75</v>
      </c>
      <c r="G12" s="22">
        <f>E12-E12*QLs!$D$4</f>
        <v>375</v>
      </c>
      <c r="H12" s="23">
        <f>F12+F12*QLs!$D$4</f>
        <v>1.125</v>
      </c>
      <c r="I12" s="24">
        <f>K12+K12*QLs!$D$2</f>
        <v>8.7499999999999994E-2</v>
      </c>
      <c r="J12" s="25">
        <f>L12+L12*QLs!$D$2</f>
        <v>0.75</v>
      </c>
      <c r="K12" s="73">
        <v>0.17499999999999999</v>
      </c>
      <c r="L12" s="73">
        <v>1.5</v>
      </c>
      <c r="M12" s="26">
        <f>K12+K12*QLs!$D$4</f>
        <v>0.26249999999999996</v>
      </c>
      <c r="N12" s="27">
        <f>L12+L12*QLs!$D$4</f>
        <v>2.25</v>
      </c>
    </row>
    <row r="13" spans="1:14" ht="50.1" customHeight="1" thickBot="1" x14ac:dyDescent="0.35">
      <c r="A13" s="19">
        <v>10</v>
      </c>
      <c r="B13" s="48" t="s">
        <v>74</v>
      </c>
      <c r="C13" s="71">
        <v>1500</v>
      </c>
      <c r="D13" s="73">
        <v>0.25</v>
      </c>
      <c r="E13" s="71">
        <v>750</v>
      </c>
      <c r="F13" s="73">
        <v>0.375</v>
      </c>
      <c r="G13" s="22">
        <f>E13-E13*QLs!$D$4</f>
        <v>375</v>
      </c>
      <c r="H13" s="23">
        <f>F13+F13*QLs!$D$4</f>
        <v>0.5625</v>
      </c>
      <c r="I13" s="24">
        <f>K13+K13*QLs!$D$2</f>
        <v>0.1</v>
      </c>
      <c r="J13" s="25">
        <f>L13+L13*QLs!$D$2</f>
        <v>0.75</v>
      </c>
      <c r="K13" s="73">
        <v>0.2</v>
      </c>
      <c r="L13" s="73">
        <v>1.5</v>
      </c>
      <c r="M13" s="26">
        <f>K13+K13*QLs!$D$4</f>
        <v>0.30000000000000004</v>
      </c>
      <c r="N13" s="27">
        <f>L13+L13*QLs!$D$4</f>
        <v>2.25</v>
      </c>
    </row>
    <row r="14" spans="1:14" ht="50.1" customHeight="1" thickBot="1" x14ac:dyDescent="0.35">
      <c r="A14" s="19">
        <v>11</v>
      </c>
      <c r="B14" s="48" t="s">
        <v>67</v>
      </c>
      <c r="C14" s="71">
        <v>1500</v>
      </c>
      <c r="D14" s="73">
        <v>0.25</v>
      </c>
      <c r="E14" s="71">
        <v>750</v>
      </c>
      <c r="F14" s="73">
        <v>0.375</v>
      </c>
      <c r="G14" s="22">
        <f>E14-E14*QLs!$D$4</f>
        <v>375</v>
      </c>
      <c r="H14" s="23">
        <f>F14+F14*QLs!$D$4</f>
        <v>0.5625</v>
      </c>
      <c r="I14" s="24">
        <f>K14+K14*QLs!$D$2</f>
        <v>0.1</v>
      </c>
      <c r="J14" s="25">
        <f>L14+L14*QLs!$D$2</f>
        <v>0.75</v>
      </c>
      <c r="K14" s="73">
        <v>0.2</v>
      </c>
      <c r="L14" s="73">
        <v>1.5</v>
      </c>
      <c r="M14" s="26">
        <f>K14+K14*QLs!$D$4</f>
        <v>0.30000000000000004</v>
      </c>
      <c r="N14" s="27">
        <f>L14+L14*QLs!$D$4</f>
        <v>2.25</v>
      </c>
    </row>
    <row r="15" spans="1:14" ht="37.5" customHeight="1" x14ac:dyDescent="0.3">
      <c r="A15" s="48">
        <v>12</v>
      </c>
      <c r="B15" s="48" t="s">
        <v>78</v>
      </c>
      <c r="C15" s="20">
        <f>E15 - E15*QLs!$D$2</f>
        <v>0</v>
      </c>
      <c r="D15" s="21">
        <f>F15 + F15*QLs!$D$2</f>
        <v>0</v>
      </c>
      <c r="E15" s="58">
        <v>0</v>
      </c>
      <c r="F15" s="59">
        <v>0</v>
      </c>
      <c r="G15" s="22">
        <f>E15-E15*QLs!$D$4</f>
        <v>0</v>
      </c>
      <c r="H15" s="23">
        <f>F15+F15*QLs!$D$4</f>
        <v>0</v>
      </c>
      <c r="I15" s="24">
        <f>K15+K15*QLs!$D$2</f>
        <v>0</v>
      </c>
      <c r="J15" s="25">
        <f>L15+L15*QLs!$D$2</f>
        <v>0</v>
      </c>
      <c r="K15" s="64">
        <v>0</v>
      </c>
      <c r="L15" s="65">
        <v>0</v>
      </c>
      <c r="M15" s="26">
        <f>K15+K15*QLs!$D$4</f>
        <v>0</v>
      </c>
      <c r="N15" s="27">
        <f>L15+L15*QLs!$D$4</f>
        <v>0</v>
      </c>
    </row>
    <row r="16" spans="1:14" ht="34.5" customHeight="1" thickBot="1" x14ac:dyDescent="0.35">
      <c r="A16" s="48">
        <v>13</v>
      </c>
      <c r="B16" s="48" t="s">
        <v>79</v>
      </c>
      <c r="C16" s="20">
        <f>E16 - E16*QLs!$D$2</f>
        <v>0</v>
      </c>
      <c r="D16" s="21">
        <f>F16 + F16*QLs!$D$2</f>
        <v>0</v>
      </c>
      <c r="E16" s="60">
        <v>0</v>
      </c>
      <c r="F16" s="61">
        <v>0</v>
      </c>
      <c r="G16" s="22">
        <f>E16-E16*QLs!$D$4</f>
        <v>0</v>
      </c>
      <c r="H16" s="23">
        <f>F16+F16*QLs!$D$4</f>
        <v>0</v>
      </c>
      <c r="I16" s="24">
        <f>K16+K16*QLs!$D$2</f>
        <v>0</v>
      </c>
      <c r="J16" s="25">
        <f>L16+L16*QLs!$D$2</f>
        <v>0</v>
      </c>
      <c r="K16" s="66">
        <v>0</v>
      </c>
      <c r="L16" s="67">
        <v>0</v>
      </c>
      <c r="M16" s="26">
        <f>K16+K16*QLs!$D$4</f>
        <v>0</v>
      </c>
      <c r="N16" s="27">
        <f>L16+L16*QLs!$D$4</f>
        <v>0</v>
      </c>
    </row>
    <row r="17" spans="1:14" ht="15" thickTop="1" x14ac:dyDescent="0.3">
      <c r="A17" s="93" t="s">
        <v>80</v>
      </c>
      <c r="B17" s="93"/>
      <c r="C17" s="93"/>
      <c r="D17" s="93"/>
      <c r="E17" s="93"/>
      <c r="F17" s="93"/>
      <c r="G17" s="93"/>
      <c r="H17" s="93"/>
      <c r="I17" s="93"/>
      <c r="J17" s="93"/>
      <c r="K17" s="93"/>
      <c r="L17" s="93"/>
      <c r="M17" s="93"/>
      <c r="N17" s="93"/>
    </row>
    <row r="18" spans="1:14" x14ac:dyDescent="0.3">
      <c r="A18" s="93"/>
      <c r="B18" s="93"/>
      <c r="C18" s="93"/>
      <c r="D18" s="93"/>
      <c r="E18" s="93"/>
      <c r="F18" s="93"/>
      <c r="G18" s="93"/>
      <c r="H18" s="93"/>
      <c r="I18" s="93"/>
      <c r="J18" s="93"/>
      <c r="K18" s="93"/>
      <c r="L18" s="93"/>
      <c r="M18" s="93"/>
      <c r="N18" s="93"/>
    </row>
    <row r="19" spans="1:14" x14ac:dyDescent="0.3">
      <c r="A19" s="93"/>
      <c r="B19" s="93"/>
      <c r="C19" s="93"/>
      <c r="D19" s="93"/>
      <c r="E19" s="93"/>
      <c r="F19" s="93"/>
      <c r="G19" s="93"/>
      <c r="H19" s="93"/>
      <c r="I19" s="93"/>
      <c r="J19" s="93"/>
      <c r="K19" s="93"/>
      <c r="L19" s="93"/>
      <c r="M19" s="93"/>
      <c r="N19" s="93"/>
    </row>
    <row r="20" spans="1:14" x14ac:dyDescent="0.3">
      <c r="A20" s="93"/>
      <c r="B20" s="93"/>
      <c r="C20" s="93"/>
      <c r="D20" s="93"/>
      <c r="E20" s="93"/>
      <c r="F20" s="93"/>
      <c r="G20" s="93"/>
      <c r="H20" s="93"/>
      <c r="I20" s="93"/>
      <c r="J20" s="93"/>
      <c r="K20" s="93"/>
      <c r="L20" s="93"/>
      <c r="M20" s="93"/>
      <c r="N20" s="93"/>
    </row>
    <row r="21" spans="1:14" x14ac:dyDescent="0.3">
      <c r="A21" s="93"/>
      <c r="B21" s="93"/>
      <c r="C21" s="93"/>
      <c r="D21" s="93"/>
      <c r="E21" s="93"/>
      <c r="F21" s="93"/>
      <c r="G21" s="93"/>
      <c r="H21" s="93"/>
      <c r="I21" s="93"/>
      <c r="J21" s="93"/>
      <c r="K21" s="93"/>
      <c r="L21" s="93"/>
      <c r="M21" s="93"/>
      <c r="N21" s="93"/>
    </row>
    <row r="22" spans="1:14" x14ac:dyDescent="0.3">
      <c r="A22" s="93"/>
      <c r="B22" s="93"/>
      <c r="C22" s="93"/>
      <c r="D22" s="93"/>
      <c r="E22" s="93"/>
      <c r="F22" s="93"/>
      <c r="G22" s="93"/>
      <c r="H22" s="93"/>
      <c r="I22" s="93"/>
      <c r="J22" s="93"/>
      <c r="K22" s="93"/>
      <c r="L22" s="93"/>
      <c r="M22" s="93"/>
      <c r="N22" s="93"/>
    </row>
    <row r="23" spans="1:14" x14ac:dyDescent="0.3">
      <c r="A23" s="93"/>
      <c r="B23" s="93"/>
      <c r="C23" s="93"/>
      <c r="D23" s="93"/>
      <c r="E23" s="93"/>
      <c r="F23" s="93"/>
      <c r="G23" s="93"/>
      <c r="H23" s="93"/>
      <c r="I23" s="93"/>
      <c r="J23" s="93"/>
      <c r="K23" s="93"/>
      <c r="L23" s="93"/>
      <c r="M23" s="93"/>
      <c r="N23" s="93"/>
    </row>
    <row r="24" spans="1:14" x14ac:dyDescent="0.3">
      <c r="A24" s="93"/>
      <c r="B24" s="93"/>
      <c r="C24" s="93"/>
      <c r="D24" s="93"/>
      <c r="E24" s="93"/>
      <c r="F24" s="93"/>
      <c r="G24" s="93"/>
      <c r="H24" s="93"/>
      <c r="I24" s="93"/>
      <c r="J24" s="93"/>
      <c r="K24" s="93"/>
      <c r="L24" s="93"/>
      <c r="M24" s="93"/>
      <c r="N24" s="93"/>
    </row>
    <row r="25" spans="1:14" x14ac:dyDescent="0.3">
      <c r="A25" s="93"/>
      <c r="B25" s="93"/>
      <c r="C25" s="93"/>
      <c r="D25" s="93"/>
      <c r="E25" s="93"/>
      <c r="F25" s="93"/>
      <c r="G25" s="93"/>
      <c r="H25" s="93"/>
      <c r="I25" s="93"/>
      <c r="J25" s="93"/>
      <c r="K25" s="93"/>
      <c r="L25" s="93"/>
      <c r="M25" s="93"/>
      <c r="N25" s="93"/>
    </row>
    <row r="26" spans="1:14" x14ac:dyDescent="0.3">
      <c r="A26" s="93"/>
      <c r="B26" s="93"/>
      <c r="C26" s="93"/>
      <c r="D26" s="93"/>
      <c r="E26" s="93"/>
      <c r="F26" s="93"/>
      <c r="G26" s="93"/>
      <c r="H26" s="93"/>
      <c r="I26" s="93"/>
      <c r="J26" s="93"/>
      <c r="K26" s="93"/>
      <c r="L26" s="93"/>
      <c r="M26" s="93"/>
      <c r="N26" s="93"/>
    </row>
    <row r="100" spans="1:1" x14ac:dyDescent="0.3">
      <c r="A100" s="4">
        <f>MAX(A4:A99)</f>
        <v>13</v>
      </c>
    </row>
  </sheetData>
  <sheetProtection formatCells="0" formatColumns="0" formatRows="0" insertColumns="0" insertRows="0" insertHyperlinks="0" deleteColumns="0" deleteRows="0" sort="0" autoFilter="0" pivotTables="0"/>
  <mergeCells count="11">
    <mergeCell ref="A17:N26"/>
    <mergeCell ref="A1:A3"/>
    <mergeCell ref="B1:B3"/>
    <mergeCell ref="C1:H1"/>
    <mergeCell ref="I1:N1"/>
    <mergeCell ref="C2:D2"/>
    <mergeCell ref="E2:F2"/>
    <mergeCell ref="G2:H2"/>
    <mergeCell ref="I2:J2"/>
    <mergeCell ref="K2:L2"/>
    <mergeCell ref="M2:N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ackToMainServ">
                <anchor moveWithCells="1" sizeWithCells="1">
                  <from>
                    <xdr:col>0</xdr:col>
                    <xdr:colOff>137160</xdr:colOff>
                    <xdr:row>0</xdr:row>
                    <xdr:rowOff>83820</xdr:rowOff>
                  </from>
                  <to>
                    <xdr:col>1</xdr:col>
                    <xdr:colOff>1668780</xdr:colOff>
                    <xdr:row>1</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J67"/>
  <sheetViews>
    <sheetView workbookViewId="0"/>
  </sheetViews>
  <sheetFormatPr defaultColWidth="9.109375" defaultRowHeight="14.4" x14ac:dyDescent="0.3"/>
  <cols>
    <col min="1" max="1" width="6.6640625" style="1" customWidth="1"/>
    <col min="2" max="2" width="35.6640625" style="1" customWidth="1"/>
    <col min="3" max="10" width="15.6640625" style="1" customWidth="1"/>
    <col min="11" max="16384" width="9.109375" style="1"/>
  </cols>
  <sheetData>
    <row r="1" spans="1:10" ht="72" x14ac:dyDescent="0.3">
      <c r="A1" s="28" t="s">
        <v>3</v>
      </c>
      <c r="B1" s="28" t="s">
        <v>4</v>
      </c>
      <c r="C1" s="28" t="s">
        <v>5</v>
      </c>
      <c r="D1" s="28" t="s">
        <v>6</v>
      </c>
      <c r="E1" s="28" t="s">
        <v>7</v>
      </c>
      <c r="F1" s="28" t="s">
        <v>8</v>
      </c>
      <c r="G1" s="28" t="s">
        <v>9</v>
      </c>
      <c r="H1" s="28" t="s">
        <v>10</v>
      </c>
      <c r="I1" s="28" t="s">
        <v>11</v>
      </c>
      <c r="J1" s="28" t="s">
        <v>12</v>
      </c>
    </row>
    <row r="2" spans="1:10" x14ac:dyDescent="0.3">
      <c r="A2" s="28">
        <v>1</v>
      </c>
      <c r="B2" s="82" t="s">
        <v>13</v>
      </c>
      <c r="C2" s="8" t="s">
        <v>14</v>
      </c>
      <c r="D2" s="8" t="s">
        <v>14</v>
      </c>
      <c r="E2" s="8" t="s">
        <v>14</v>
      </c>
      <c r="F2" s="8" t="s">
        <v>14</v>
      </c>
      <c r="G2" s="8" t="s">
        <v>15</v>
      </c>
      <c r="H2" s="8" t="s">
        <v>14</v>
      </c>
      <c r="I2" s="8" t="s">
        <v>16</v>
      </c>
      <c r="J2" s="8" t="s">
        <v>16</v>
      </c>
    </row>
    <row r="3" spans="1:10" x14ac:dyDescent="0.3">
      <c r="A3" s="28">
        <v>2</v>
      </c>
      <c r="B3" s="82"/>
      <c r="C3" s="8" t="s">
        <v>14</v>
      </c>
      <c r="D3" s="8" t="s">
        <v>14</v>
      </c>
      <c r="E3" s="8" t="s">
        <v>14</v>
      </c>
      <c r="F3" s="8" t="s">
        <v>15</v>
      </c>
      <c r="G3" s="8" t="s">
        <v>14</v>
      </c>
      <c r="H3" s="8" t="s">
        <v>14</v>
      </c>
      <c r="I3" s="8" t="s">
        <v>16</v>
      </c>
      <c r="J3" s="8" t="s">
        <v>16</v>
      </c>
    </row>
    <row r="4" spans="1:10" x14ac:dyDescent="0.3">
      <c r="A4" s="28">
        <v>3</v>
      </c>
      <c r="B4" s="82"/>
      <c r="C4" s="8" t="s">
        <v>14</v>
      </c>
      <c r="D4" s="8" t="s">
        <v>14</v>
      </c>
      <c r="E4" s="8" t="s">
        <v>14</v>
      </c>
      <c r="F4" s="8" t="s">
        <v>15</v>
      </c>
      <c r="G4" s="8" t="s">
        <v>15</v>
      </c>
      <c r="H4" s="8" t="s">
        <v>14</v>
      </c>
      <c r="I4" s="8" t="s">
        <v>16</v>
      </c>
      <c r="J4" s="8" t="s">
        <v>16</v>
      </c>
    </row>
    <row r="5" spans="1:10" x14ac:dyDescent="0.3">
      <c r="A5" s="28">
        <v>4</v>
      </c>
      <c r="B5" s="82"/>
      <c r="C5" s="8" t="s">
        <v>14</v>
      </c>
      <c r="D5" s="8" t="s">
        <v>14</v>
      </c>
      <c r="E5" s="8" t="s">
        <v>15</v>
      </c>
      <c r="F5" s="8" t="s">
        <v>14</v>
      </c>
      <c r="G5" s="8" t="s">
        <v>14</v>
      </c>
      <c r="H5" s="8" t="s">
        <v>15</v>
      </c>
      <c r="I5" s="8" t="s">
        <v>17</v>
      </c>
      <c r="J5" s="8" t="s">
        <v>18</v>
      </c>
    </row>
    <row r="6" spans="1:10" x14ac:dyDescent="0.3">
      <c r="A6" s="28">
        <v>5</v>
      </c>
      <c r="B6" s="82"/>
      <c r="C6" s="8" t="s">
        <v>14</v>
      </c>
      <c r="D6" s="8" t="s">
        <v>14</v>
      </c>
      <c r="E6" s="8" t="s">
        <v>15</v>
      </c>
      <c r="F6" s="8" t="s">
        <v>14</v>
      </c>
      <c r="G6" s="8" t="s">
        <v>15</v>
      </c>
      <c r="H6" s="8" t="s">
        <v>15</v>
      </c>
      <c r="I6" s="8" t="s">
        <v>17</v>
      </c>
      <c r="J6" s="8" t="s">
        <v>18</v>
      </c>
    </row>
    <row r="7" spans="1:10" x14ac:dyDescent="0.3">
      <c r="A7" s="28">
        <v>6</v>
      </c>
      <c r="B7" s="82"/>
      <c r="C7" s="8" t="s">
        <v>14</v>
      </c>
      <c r="D7" s="8" t="s">
        <v>14</v>
      </c>
      <c r="E7" s="8" t="s">
        <v>15</v>
      </c>
      <c r="F7" s="8" t="s">
        <v>15</v>
      </c>
      <c r="G7" s="8" t="s">
        <v>14</v>
      </c>
      <c r="H7" s="8" t="s">
        <v>15</v>
      </c>
      <c r="I7" s="8" t="s">
        <v>17</v>
      </c>
      <c r="J7" s="8" t="s">
        <v>18</v>
      </c>
    </row>
    <row r="8" spans="1:10" x14ac:dyDescent="0.3">
      <c r="A8" s="28">
        <v>7</v>
      </c>
      <c r="B8" s="82"/>
      <c r="C8" s="8" t="s">
        <v>14</v>
      </c>
      <c r="D8" s="8" t="s">
        <v>14</v>
      </c>
      <c r="E8" s="8" t="s">
        <v>15</v>
      </c>
      <c r="F8" s="8" t="s">
        <v>15</v>
      </c>
      <c r="G8" s="8" t="s">
        <v>15</v>
      </c>
      <c r="H8" s="8" t="s">
        <v>15</v>
      </c>
      <c r="I8" s="8" t="s">
        <v>17</v>
      </c>
      <c r="J8" s="8" t="s">
        <v>18</v>
      </c>
    </row>
    <row r="9" spans="1:10" x14ac:dyDescent="0.3">
      <c r="A9" s="28">
        <v>8</v>
      </c>
      <c r="B9" s="82"/>
      <c r="C9" s="8" t="s">
        <v>14</v>
      </c>
      <c r="D9" s="8" t="s">
        <v>15</v>
      </c>
      <c r="E9" s="8" t="s">
        <v>14</v>
      </c>
      <c r="F9" s="8" t="s">
        <v>14</v>
      </c>
      <c r="G9" s="8" t="s">
        <v>14</v>
      </c>
      <c r="H9" s="8" t="s">
        <v>14</v>
      </c>
      <c r="I9" s="8" t="s">
        <v>16</v>
      </c>
      <c r="J9" s="8" t="s">
        <v>16</v>
      </c>
    </row>
    <row r="10" spans="1:10" x14ac:dyDescent="0.3">
      <c r="A10" s="28">
        <v>9</v>
      </c>
      <c r="B10" s="82"/>
      <c r="C10" s="8" t="s">
        <v>14</v>
      </c>
      <c r="D10" s="8" t="s">
        <v>15</v>
      </c>
      <c r="E10" s="8" t="s">
        <v>14</v>
      </c>
      <c r="F10" s="8" t="s">
        <v>14</v>
      </c>
      <c r="G10" s="8" t="s">
        <v>15</v>
      </c>
      <c r="H10" s="8" t="s">
        <v>14</v>
      </c>
      <c r="I10" s="8" t="s">
        <v>16</v>
      </c>
      <c r="J10" s="8" t="s">
        <v>16</v>
      </c>
    </row>
    <row r="11" spans="1:10" x14ac:dyDescent="0.3">
      <c r="A11" s="28">
        <v>10</v>
      </c>
      <c r="B11" s="82"/>
      <c r="C11" s="8" t="s">
        <v>14</v>
      </c>
      <c r="D11" s="8" t="s">
        <v>15</v>
      </c>
      <c r="E11" s="8" t="s">
        <v>14</v>
      </c>
      <c r="F11" s="8" t="s">
        <v>15</v>
      </c>
      <c r="G11" s="8" t="s">
        <v>14</v>
      </c>
      <c r="H11" s="8" t="s">
        <v>14</v>
      </c>
      <c r="I11" s="8" t="s">
        <v>16</v>
      </c>
      <c r="J11" s="8" t="s">
        <v>16</v>
      </c>
    </row>
    <row r="12" spans="1:10" x14ac:dyDescent="0.3">
      <c r="A12" s="28">
        <v>11</v>
      </c>
      <c r="B12" s="82"/>
      <c r="C12" s="8" t="s">
        <v>14</v>
      </c>
      <c r="D12" s="8" t="s">
        <v>15</v>
      </c>
      <c r="E12" s="8" t="s">
        <v>14</v>
      </c>
      <c r="F12" s="8" t="s">
        <v>15</v>
      </c>
      <c r="G12" s="8" t="s">
        <v>15</v>
      </c>
      <c r="H12" s="8" t="s">
        <v>14</v>
      </c>
      <c r="I12" s="8" t="s">
        <v>16</v>
      </c>
      <c r="J12" s="8" t="s">
        <v>16</v>
      </c>
    </row>
    <row r="13" spans="1:10" x14ac:dyDescent="0.3">
      <c r="A13" s="28">
        <v>12</v>
      </c>
      <c r="B13" s="82"/>
      <c r="C13" s="8" t="s">
        <v>14</v>
      </c>
      <c r="D13" s="8" t="s">
        <v>15</v>
      </c>
      <c r="E13" s="8" t="s">
        <v>15</v>
      </c>
      <c r="F13" s="8" t="s">
        <v>14</v>
      </c>
      <c r="G13" s="8" t="s">
        <v>14</v>
      </c>
      <c r="H13" s="8" t="s">
        <v>15</v>
      </c>
      <c r="I13" s="8" t="s">
        <v>17</v>
      </c>
      <c r="J13" s="8" t="s">
        <v>18</v>
      </c>
    </row>
    <row r="14" spans="1:10" x14ac:dyDescent="0.3">
      <c r="A14" s="28">
        <v>13</v>
      </c>
      <c r="B14" s="82"/>
      <c r="C14" s="8" t="s">
        <v>14</v>
      </c>
      <c r="D14" s="8" t="s">
        <v>15</v>
      </c>
      <c r="E14" s="8" t="s">
        <v>15</v>
      </c>
      <c r="F14" s="8" t="s">
        <v>14</v>
      </c>
      <c r="G14" s="8" t="s">
        <v>15</v>
      </c>
      <c r="H14" s="8" t="s">
        <v>15</v>
      </c>
      <c r="I14" s="8" t="s">
        <v>17</v>
      </c>
      <c r="J14" s="8" t="s">
        <v>18</v>
      </c>
    </row>
    <row r="15" spans="1:10" x14ac:dyDescent="0.3">
      <c r="A15" s="28">
        <v>14</v>
      </c>
      <c r="B15" s="82"/>
      <c r="C15" s="8" t="s">
        <v>14</v>
      </c>
      <c r="D15" s="8" t="s">
        <v>15</v>
      </c>
      <c r="E15" s="8" t="s">
        <v>15</v>
      </c>
      <c r="F15" s="8" t="s">
        <v>15</v>
      </c>
      <c r="G15" s="8" t="s">
        <v>14</v>
      </c>
      <c r="H15" s="8" t="s">
        <v>15</v>
      </c>
      <c r="I15" s="8" t="s">
        <v>17</v>
      </c>
      <c r="J15" s="8" t="s">
        <v>18</v>
      </c>
    </row>
    <row r="16" spans="1:10" x14ac:dyDescent="0.3">
      <c r="A16" s="28">
        <v>15</v>
      </c>
      <c r="B16" s="82"/>
      <c r="C16" s="8" t="s">
        <v>14</v>
      </c>
      <c r="D16" s="8" t="s">
        <v>15</v>
      </c>
      <c r="E16" s="8" t="s">
        <v>15</v>
      </c>
      <c r="F16" s="8" t="s">
        <v>15</v>
      </c>
      <c r="G16" s="8" t="s">
        <v>15</v>
      </c>
      <c r="H16" s="8" t="s">
        <v>19</v>
      </c>
      <c r="I16" s="8" t="s">
        <v>17</v>
      </c>
      <c r="J16" s="8" t="s">
        <v>18</v>
      </c>
    </row>
    <row r="17" spans="1:10" x14ac:dyDescent="0.3">
      <c r="A17" s="28">
        <v>16</v>
      </c>
      <c r="B17" s="82"/>
      <c r="C17" s="8" t="s">
        <v>15</v>
      </c>
      <c r="D17" s="8" t="s">
        <v>14</v>
      </c>
      <c r="E17" s="8" t="s">
        <v>14</v>
      </c>
      <c r="F17" s="8" t="s">
        <v>14</v>
      </c>
      <c r="G17" s="8" t="s">
        <v>14</v>
      </c>
      <c r="H17" s="8" t="s">
        <v>19</v>
      </c>
      <c r="I17" s="8" t="s">
        <v>17</v>
      </c>
      <c r="J17" s="8" t="s">
        <v>18</v>
      </c>
    </row>
    <row r="18" spans="1:10" x14ac:dyDescent="0.3">
      <c r="A18" s="28">
        <v>17</v>
      </c>
      <c r="B18" s="82"/>
      <c r="C18" s="8" t="s">
        <v>15</v>
      </c>
      <c r="D18" s="8" t="s">
        <v>14</v>
      </c>
      <c r="E18" s="8" t="s">
        <v>14</v>
      </c>
      <c r="F18" s="8" t="s">
        <v>14</v>
      </c>
      <c r="G18" s="8" t="s">
        <v>15</v>
      </c>
      <c r="H18" s="8" t="s">
        <v>15</v>
      </c>
      <c r="I18" s="8" t="s">
        <v>17</v>
      </c>
      <c r="J18" s="8" t="s">
        <v>18</v>
      </c>
    </row>
    <row r="19" spans="1:10" x14ac:dyDescent="0.3">
      <c r="A19" s="28">
        <v>18</v>
      </c>
      <c r="B19" s="82"/>
      <c r="C19" s="8" t="s">
        <v>15</v>
      </c>
      <c r="D19" s="8" t="s">
        <v>14</v>
      </c>
      <c r="E19" s="8" t="s">
        <v>14</v>
      </c>
      <c r="F19" s="8" t="s">
        <v>15</v>
      </c>
      <c r="G19" s="8" t="s">
        <v>14</v>
      </c>
      <c r="H19" s="8" t="s">
        <v>19</v>
      </c>
      <c r="I19" s="8" t="s">
        <v>17</v>
      </c>
      <c r="J19" s="8" t="s">
        <v>18</v>
      </c>
    </row>
    <row r="20" spans="1:10" x14ac:dyDescent="0.3">
      <c r="A20" s="28">
        <v>19</v>
      </c>
      <c r="B20" s="82"/>
      <c r="C20" s="8" t="s">
        <v>15</v>
      </c>
      <c r="D20" s="8" t="s">
        <v>14</v>
      </c>
      <c r="E20" s="8" t="s">
        <v>14</v>
      </c>
      <c r="F20" s="8" t="s">
        <v>15</v>
      </c>
      <c r="G20" s="8" t="s">
        <v>15</v>
      </c>
      <c r="H20" s="8" t="s">
        <v>15</v>
      </c>
      <c r="I20" s="8" t="s">
        <v>17</v>
      </c>
      <c r="J20" s="8" t="s">
        <v>18</v>
      </c>
    </row>
    <row r="21" spans="1:10" x14ac:dyDescent="0.3">
      <c r="A21" s="28">
        <v>20</v>
      </c>
      <c r="B21" s="82"/>
      <c r="C21" s="8" t="s">
        <v>15</v>
      </c>
      <c r="D21" s="8" t="s">
        <v>14</v>
      </c>
      <c r="E21" s="8" t="s">
        <v>15</v>
      </c>
      <c r="F21" s="8" t="s">
        <v>14</v>
      </c>
      <c r="G21" s="8" t="s">
        <v>14</v>
      </c>
      <c r="H21" s="8" t="s">
        <v>19</v>
      </c>
      <c r="I21" s="8" t="s">
        <v>17</v>
      </c>
      <c r="J21" s="8" t="s">
        <v>18</v>
      </c>
    </row>
    <row r="22" spans="1:10" x14ac:dyDescent="0.3">
      <c r="A22" s="28">
        <v>21</v>
      </c>
      <c r="B22" s="82"/>
      <c r="C22" s="8" t="s">
        <v>15</v>
      </c>
      <c r="D22" s="8" t="s">
        <v>14</v>
      </c>
      <c r="E22" s="8" t="s">
        <v>15</v>
      </c>
      <c r="F22" s="8" t="s">
        <v>14</v>
      </c>
      <c r="G22" s="8" t="s">
        <v>15</v>
      </c>
      <c r="H22" s="8" t="s">
        <v>15</v>
      </c>
      <c r="I22" s="8" t="s">
        <v>17</v>
      </c>
      <c r="J22" s="8" t="s">
        <v>18</v>
      </c>
    </row>
    <row r="23" spans="1:10" x14ac:dyDescent="0.3">
      <c r="A23" s="28">
        <v>22</v>
      </c>
      <c r="B23" s="82"/>
      <c r="C23" s="8" t="s">
        <v>15</v>
      </c>
      <c r="D23" s="8" t="s">
        <v>14</v>
      </c>
      <c r="E23" s="8" t="s">
        <v>15</v>
      </c>
      <c r="F23" s="8" t="s">
        <v>15</v>
      </c>
      <c r="G23" s="8" t="s">
        <v>14</v>
      </c>
      <c r="H23" s="8" t="s">
        <v>19</v>
      </c>
      <c r="I23" s="8" t="s">
        <v>17</v>
      </c>
      <c r="J23" s="8" t="s">
        <v>18</v>
      </c>
    </row>
    <row r="24" spans="1:10" x14ac:dyDescent="0.3">
      <c r="A24" s="28">
        <v>23</v>
      </c>
      <c r="B24" s="82"/>
      <c r="C24" s="8" t="s">
        <v>15</v>
      </c>
      <c r="D24" s="8" t="s">
        <v>14</v>
      </c>
      <c r="E24" s="8" t="s">
        <v>15</v>
      </c>
      <c r="F24" s="8" t="s">
        <v>15</v>
      </c>
      <c r="G24" s="8" t="s">
        <v>15</v>
      </c>
      <c r="H24" s="8" t="s">
        <v>15</v>
      </c>
      <c r="I24" s="8" t="s">
        <v>17</v>
      </c>
      <c r="J24" s="8" t="s">
        <v>18</v>
      </c>
    </row>
    <row r="25" spans="1:10" x14ac:dyDescent="0.3">
      <c r="A25" s="28">
        <v>24</v>
      </c>
      <c r="B25" s="82"/>
      <c r="C25" s="8" t="s">
        <v>15</v>
      </c>
      <c r="D25" s="8" t="s">
        <v>15</v>
      </c>
      <c r="E25" s="8" t="s">
        <v>14</v>
      </c>
      <c r="F25" s="8" t="s">
        <v>14</v>
      </c>
      <c r="G25" s="8" t="s">
        <v>14</v>
      </c>
      <c r="H25" s="8" t="s">
        <v>19</v>
      </c>
      <c r="I25" s="8" t="s">
        <v>17</v>
      </c>
      <c r="J25" s="8" t="s">
        <v>18</v>
      </c>
    </row>
    <row r="26" spans="1:10" x14ac:dyDescent="0.3">
      <c r="A26" s="28">
        <v>25</v>
      </c>
      <c r="B26" s="82"/>
      <c r="C26" s="8" t="s">
        <v>15</v>
      </c>
      <c r="D26" s="8" t="s">
        <v>15</v>
      </c>
      <c r="E26" s="8" t="s">
        <v>14</v>
      </c>
      <c r="F26" s="8" t="s">
        <v>14</v>
      </c>
      <c r="G26" s="8" t="s">
        <v>15</v>
      </c>
      <c r="H26" s="8" t="s">
        <v>15</v>
      </c>
      <c r="I26" s="8" t="s">
        <v>17</v>
      </c>
      <c r="J26" s="8" t="s">
        <v>18</v>
      </c>
    </row>
    <row r="27" spans="1:10" x14ac:dyDescent="0.3">
      <c r="A27" s="28">
        <v>26</v>
      </c>
      <c r="B27" s="82"/>
      <c r="C27" s="8" t="s">
        <v>15</v>
      </c>
      <c r="D27" s="8" t="s">
        <v>15</v>
      </c>
      <c r="E27" s="8" t="s">
        <v>14</v>
      </c>
      <c r="F27" s="8" t="s">
        <v>15</v>
      </c>
      <c r="G27" s="8" t="s">
        <v>14</v>
      </c>
      <c r="H27" s="8" t="s">
        <v>19</v>
      </c>
      <c r="I27" s="8" t="s">
        <v>17</v>
      </c>
      <c r="J27" s="8" t="s">
        <v>18</v>
      </c>
    </row>
    <row r="28" spans="1:10" x14ac:dyDescent="0.3">
      <c r="A28" s="28">
        <v>27</v>
      </c>
      <c r="B28" s="82"/>
      <c r="C28" s="8" t="s">
        <v>15</v>
      </c>
      <c r="D28" s="8" t="s">
        <v>15</v>
      </c>
      <c r="E28" s="8" t="s">
        <v>14</v>
      </c>
      <c r="F28" s="8" t="s">
        <v>15</v>
      </c>
      <c r="G28" s="8" t="s">
        <v>15</v>
      </c>
      <c r="H28" s="8" t="s">
        <v>15</v>
      </c>
      <c r="I28" s="8" t="s">
        <v>17</v>
      </c>
      <c r="J28" s="8" t="s">
        <v>18</v>
      </c>
    </row>
    <row r="29" spans="1:10" x14ac:dyDescent="0.3">
      <c r="A29" s="28">
        <v>28</v>
      </c>
      <c r="B29" s="82"/>
      <c r="C29" s="8" t="s">
        <v>15</v>
      </c>
      <c r="D29" s="8" t="s">
        <v>15</v>
      </c>
      <c r="E29" s="8" t="s">
        <v>15</v>
      </c>
      <c r="F29" s="8" t="s">
        <v>14</v>
      </c>
      <c r="G29" s="8" t="s">
        <v>14</v>
      </c>
      <c r="H29" s="8" t="s">
        <v>19</v>
      </c>
      <c r="I29" s="8" t="s">
        <v>17</v>
      </c>
      <c r="J29" s="8" t="s">
        <v>18</v>
      </c>
    </row>
    <row r="30" spans="1:10" x14ac:dyDescent="0.3">
      <c r="A30" s="28">
        <v>29</v>
      </c>
      <c r="B30" s="82"/>
      <c r="C30" s="8" t="s">
        <v>15</v>
      </c>
      <c r="D30" s="8" t="s">
        <v>15</v>
      </c>
      <c r="E30" s="8" t="s">
        <v>15</v>
      </c>
      <c r="F30" s="8" t="s">
        <v>14</v>
      </c>
      <c r="G30" s="8" t="s">
        <v>15</v>
      </c>
      <c r="H30" s="8" t="s">
        <v>15</v>
      </c>
      <c r="I30" s="8" t="s">
        <v>17</v>
      </c>
      <c r="J30" s="8" t="s">
        <v>18</v>
      </c>
    </row>
    <row r="31" spans="1:10" x14ac:dyDescent="0.3">
      <c r="A31" s="28">
        <v>30</v>
      </c>
      <c r="B31" s="82"/>
      <c r="C31" s="8" t="s">
        <v>15</v>
      </c>
      <c r="D31" s="8" t="s">
        <v>15</v>
      </c>
      <c r="E31" s="8" t="s">
        <v>15</v>
      </c>
      <c r="F31" s="8" t="s">
        <v>15</v>
      </c>
      <c r="G31" s="8" t="s">
        <v>14</v>
      </c>
      <c r="H31" s="8" t="s">
        <v>19</v>
      </c>
      <c r="I31" s="8" t="s">
        <v>17</v>
      </c>
      <c r="J31" s="8" t="s">
        <v>18</v>
      </c>
    </row>
    <row r="32" spans="1:10" x14ac:dyDescent="0.3">
      <c r="A32" s="28">
        <v>31</v>
      </c>
      <c r="B32" s="82"/>
      <c r="C32" s="8" t="s">
        <v>15</v>
      </c>
      <c r="D32" s="8" t="s">
        <v>15</v>
      </c>
      <c r="E32" s="8" t="s">
        <v>15</v>
      </c>
      <c r="F32" s="8" t="s">
        <v>15</v>
      </c>
      <c r="G32" s="8" t="s">
        <v>15</v>
      </c>
      <c r="H32" s="8" t="s">
        <v>15</v>
      </c>
      <c r="I32" s="8" t="s">
        <v>17</v>
      </c>
      <c r="J32" s="8" t="s">
        <v>18</v>
      </c>
    </row>
    <row r="33" spans="1:10" x14ac:dyDescent="0.3">
      <c r="A33" s="28">
        <v>32</v>
      </c>
      <c r="B33" s="82" t="s">
        <v>20</v>
      </c>
      <c r="C33" s="8" t="s">
        <v>14</v>
      </c>
      <c r="D33" s="8" t="s">
        <v>14</v>
      </c>
      <c r="E33" s="8" t="s">
        <v>14</v>
      </c>
      <c r="F33" s="8" t="s">
        <v>14</v>
      </c>
      <c r="G33" s="8" t="s">
        <v>15</v>
      </c>
      <c r="H33" s="8" t="s">
        <v>15</v>
      </c>
      <c r="I33" s="8" t="s">
        <v>18</v>
      </c>
      <c r="J33" s="8" t="s">
        <v>17</v>
      </c>
    </row>
    <row r="34" spans="1:10" x14ac:dyDescent="0.3">
      <c r="A34" s="28">
        <v>33</v>
      </c>
      <c r="B34" s="82"/>
      <c r="C34" s="8" t="s">
        <v>14</v>
      </c>
      <c r="D34" s="8" t="s">
        <v>14</v>
      </c>
      <c r="E34" s="8" t="s">
        <v>14</v>
      </c>
      <c r="F34" s="8" t="s">
        <v>15</v>
      </c>
      <c r="G34" s="8" t="s">
        <v>14</v>
      </c>
      <c r="H34" s="8" t="s">
        <v>15</v>
      </c>
      <c r="I34" s="8" t="s">
        <v>17</v>
      </c>
      <c r="J34" s="8" t="s">
        <v>17</v>
      </c>
    </row>
    <row r="35" spans="1:10" x14ac:dyDescent="0.3">
      <c r="A35" s="28">
        <v>34</v>
      </c>
      <c r="B35" s="82"/>
      <c r="C35" s="8" t="s">
        <v>14</v>
      </c>
      <c r="D35" s="8" t="s">
        <v>14</v>
      </c>
      <c r="E35" s="8" t="s">
        <v>14</v>
      </c>
      <c r="F35" s="8" t="s">
        <v>15</v>
      </c>
      <c r="G35" s="8" t="s">
        <v>15</v>
      </c>
      <c r="H35" s="8" t="s">
        <v>15</v>
      </c>
      <c r="I35" s="8" t="s">
        <v>18</v>
      </c>
      <c r="J35" s="8" t="s">
        <v>17</v>
      </c>
    </row>
    <row r="36" spans="1:10" x14ac:dyDescent="0.3">
      <c r="A36" s="28">
        <v>35</v>
      </c>
      <c r="B36" s="82"/>
      <c r="C36" s="8" t="s">
        <v>14</v>
      </c>
      <c r="D36" s="8" t="s">
        <v>14</v>
      </c>
      <c r="E36" s="8" t="s">
        <v>15</v>
      </c>
      <c r="F36" s="8" t="s">
        <v>14</v>
      </c>
      <c r="G36" s="8" t="s">
        <v>14</v>
      </c>
      <c r="H36" s="8" t="s">
        <v>15</v>
      </c>
      <c r="I36" s="8" t="s">
        <v>17</v>
      </c>
      <c r="J36" s="8" t="s">
        <v>17</v>
      </c>
    </row>
    <row r="37" spans="1:10" x14ac:dyDescent="0.3">
      <c r="A37" s="28">
        <v>36</v>
      </c>
      <c r="B37" s="82"/>
      <c r="C37" s="8" t="s">
        <v>14</v>
      </c>
      <c r="D37" s="8" t="s">
        <v>14</v>
      </c>
      <c r="E37" s="8" t="s">
        <v>15</v>
      </c>
      <c r="F37" s="8" t="s">
        <v>14</v>
      </c>
      <c r="G37" s="8" t="s">
        <v>15</v>
      </c>
      <c r="H37" s="8" t="s">
        <v>15</v>
      </c>
      <c r="I37" s="8" t="s">
        <v>18</v>
      </c>
      <c r="J37" s="8" t="s">
        <v>17</v>
      </c>
    </row>
    <row r="38" spans="1:10" x14ac:dyDescent="0.3">
      <c r="A38" s="28">
        <v>37</v>
      </c>
      <c r="B38" s="82"/>
      <c r="C38" s="8" t="s">
        <v>14</v>
      </c>
      <c r="D38" s="8" t="s">
        <v>14</v>
      </c>
      <c r="E38" s="8" t="s">
        <v>15</v>
      </c>
      <c r="F38" s="8" t="s">
        <v>15</v>
      </c>
      <c r="G38" s="8" t="s">
        <v>14</v>
      </c>
      <c r="H38" s="8" t="s">
        <v>15</v>
      </c>
      <c r="I38" s="8" t="s">
        <v>17</v>
      </c>
      <c r="J38" s="8" t="s">
        <v>17</v>
      </c>
    </row>
    <row r="39" spans="1:10" x14ac:dyDescent="0.3">
      <c r="A39" s="28">
        <v>38</v>
      </c>
      <c r="B39" s="82"/>
      <c r="C39" s="8" t="s">
        <v>14</v>
      </c>
      <c r="D39" s="8" t="s">
        <v>14</v>
      </c>
      <c r="E39" s="8" t="s">
        <v>15</v>
      </c>
      <c r="F39" s="8" t="s">
        <v>15</v>
      </c>
      <c r="G39" s="8" t="s">
        <v>15</v>
      </c>
      <c r="H39" s="8" t="s">
        <v>15</v>
      </c>
      <c r="I39" s="8" t="s">
        <v>18</v>
      </c>
      <c r="J39" s="8" t="s">
        <v>17</v>
      </c>
    </row>
    <row r="40" spans="1:10" x14ac:dyDescent="0.3">
      <c r="A40" s="28">
        <v>39</v>
      </c>
      <c r="B40" s="82"/>
      <c r="C40" s="8" t="s">
        <v>14</v>
      </c>
      <c r="D40" s="8" t="s">
        <v>15</v>
      </c>
      <c r="E40" s="8" t="s">
        <v>14</v>
      </c>
      <c r="F40" s="8" t="s">
        <v>14</v>
      </c>
      <c r="G40" s="8" t="s">
        <v>14</v>
      </c>
      <c r="H40" s="8" t="s">
        <v>15</v>
      </c>
      <c r="I40" s="8" t="s">
        <v>17</v>
      </c>
      <c r="J40" s="8" t="s">
        <v>17</v>
      </c>
    </row>
    <row r="41" spans="1:10" x14ac:dyDescent="0.3">
      <c r="A41" s="28">
        <v>40</v>
      </c>
      <c r="B41" s="82"/>
      <c r="C41" s="8" t="s">
        <v>14</v>
      </c>
      <c r="D41" s="8" t="s">
        <v>15</v>
      </c>
      <c r="E41" s="8" t="s">
        <v>14</v>
      </c>
      <c r="F41" s="8" t="s">
        <v>14</v>
      </c>
      <c r="G41" s="8" t="s">
        <v>15</v>
      </c>
      <c r="H41" s="8" t="s">
        <v>15</v>
      </c>
      <c r="I41" s="8" t="s">
        <v>18</v>
      </c>
      <c r="J41" s="8" t="s">
        <v>17</v>
      </c>
    </row>
    <row r="42" spans="1:10" x14ac:dyDescent="0.3">
      <c r="A42" s="28">
        <v>41</v>
      </c>
      <c r="B42" s="82"/>
      <c r="C42" s="8" t="s">
        <v>14</v>
      </c>
      <c r="D42" s="8" t="s">
        <v>15</v>
      </c>
      <c r="E42" s="8" t="s">
        <v>14</v>
      </c>
      <c r="F42" s="8" t="s">
        <v>15</v>
      </c>
      <c r="G42" s="8" t="s">
        <v>14</v>
      </c>
      <c r="H42" s="8" t="s">
        <v>15</v>
      </c>
      <c r="I42" s="8" t="s">
        <v>17</v>
      </c>
      <c r="J42" s="8" t="s">
        <v>17</v>
      </c>
    </row>
    <row r="43" spans="1:10" x14ac:dyDescent="0.3">
      <c r="A43" s="28">
        <v>42</v>
      </c>
      <c r="B43" s="82"/>
      <c r="C43" s="8" t="s">
        <v>14</v>
      </c>
      <c r="D43" s="8" t="s">
        <v>15</v>
      </c>
      <c r="E43" s="8" t="s">
        <v>14</v>
      </c>
      <c r="F43" s="8" t="s">
        <v>15</v>
      </c>
      <c r="G43" s="8" t="s">
        <v>15</v>
      </c>
      <c r="H43" s="8" t="s">
        <v>15</v>
      </c>
      <c r="I43" s="8" t="s">
        <v>18</v>
      </c>
      <c r="J43" s="8" t="s">
        <v>17</v>
      </c>
    </row>
    <row r="44" spans="1:10" x14ac:dyDescent="0.3">
      <c r="A44" s="28">
        <v>43</v>
      </c>
      <c r="B44" s="82"/>
      <c r="C44" s="8" t="s">
        <v>14</v>
      </c>
      <c r="D44" s="8" t="s">
        <v>15</v>
      </c>
      <c r="E44" s="8" t="s">
        <v>15</v>
      </c>
      <c r="F44" s="8" t="s">
        <v>14</v>
      </c>
      <c r="G44" s="8" t="s">
        <v>14</v>
      </c>
      <c r="H44" s="8" t="s">
        <v>15</v>
      </c>
      <c r="I44" s="8" t="s">
        <v>17</v>
      </c>
      <c r="J44" s="8" t="s">
        <v>17</v>
      </c>
    </row>
    <row r="45" spans="1:10" x14ac:dyDescent="0.3">
      <c r="A45" s="28">
        <v>44</v>
      </c>
      <c r="B45" s="82"/>
      <c r="C45" s="8" t="s">
        <v>14</v>
      </c>
      <c r="D45" s="8" t="s">
        <v>15</v>
      </c>
      <c r="E45" s="8" t="s">
        <v>15</v>
      </c>
      <c r="F45" s="8" t="s">
        <v>14</v>
      </c>
      <c r="G45" s="8" t="s">
        <v>15</v>
      </c>
      <c r="H45" s="8" t="s">
        <v>15</v>
      </c>
      <c r="I45" s="8" t="s">
        <v>18</v>
      </c>
      <c r="J45" s="8" t="s">
        <v>17</v>
      </c>
    </row>
    <row r="46" spans="1:10" x14ac:dyDescent="0.3">
      <c r="A46" s="28">
        <v>45</v>
      </c>
      <c r="B46" s="82"/>
      <c r="C46" s="8" t="s">
        <v>14</v>
      </c>
      <c r="D46" s="8" t="s">
        <v>15</v>
      </c>
      <c r="E46" s="8" t="s">
        <v>15</v>
      </c>
      <c r="F46" s="8" t="s">
        <v>15</v>
      </c>
      <c r="G46" s="8" t="s">
        <v>14</v>
      </c>
      <c r="H46" s="8" t="s">
        <v>15</v>
      </c>
      <c r="I46" s="8" t="s">
        <v>17</v>
      </c>
      <c r="J46" s="8" t="s">
        <v>17</v>
      </c>
    </row>
    <row r="47" spans="1:10" x14ac:dyDescent="0.3">
      <c r="A47" s="28">
        <v>46</v>
      </c>
      <c r="B47" s="82"/>
      <c r="C47" s="8" t="s">
        <v>14</v>
      </c>
      <c r="D47" s="8" t="s">
        <v>15</v>
      </c>
      <c r="E47" s="8" t="s">
        <v>15</v>
      </c>
      <c r="F47" s="8" t="s">
        <v>15</v>
      </c>
      <c r="G47" s="8" t="s">
        <v>15</v>
      </c>
      <c r="H47" s="8" t="s">
        <v>15</v>
      </c>
      <c r="I47" s="8" t="s">
        <v>18</v>
      </c>
      <c r="J47" s="8" t="s">
        <v>17</v>
      </c>
    </row>
    <row r="48" spans="1:10" x14ac:dyDescent="0.3">
      <c r="A48" s="28">
        <v>47</v>
      </c>
      <c r="B48" s="82"/>
      <c r="C48" s="8" t="s">
        <v>15</v>
      </c>
      <c r="D48" s="8" t="s">
        <v>14</v>
      </c>
      <c r="E48" s="8" t="s">
        <v>14</v>
      </c>
      <c r="F48" s="8" t="s">
        <v>14</v>
      </c>
      <c r="G48" s="8" t="s">
        <v>14</v>
      </c>
      <c r="H48" s="8" t="s">
        <v>15</v>
      </c>
      <c r="I48" s="8" t="s">
        <v>17</v>
      </c>
      <c r="J48" s="8" t="s">
        <v>17</v>
      </c>
    </row>
    <row r="49" spans="1:10" x14ac:dyDescent="0.3">
      <c r="A49" s="28">
        <v>48</v>
      </c>
      <c r="B49" s="82"/>
      <c r="C49" s="8" t="s">
        <v>15</v>
      </c>
      <c r="D49" s="8" t="s">
        <v>14</v>
      </c>
      <c r="E49" s="8" t="s">
        <v>14</v>
      </c>
      <c r="F49" s="8" t="s">
        <v>14</v>
      </c>
      <c r="G49" s="8" t="s">
        <v>15</v>
      </c>
      <c r="H49" s="8" t="s">
        <v>15</v>
      </c>
      <c r="I49" s="8" t="s">
        <v>18</v>
      </c>
      <c r="J49" s="8" t="s">
        <v>17</v>
      </c>
    </row>
    <row r="50" spans="1:10" x14ac:dyDescent="0.3">
      <c r="A50" s="28">
        <v>49</v>
      </c>
      <c r="B50" s="82"/>
      <c r="C50" s="8" t="s">
        <v>15</v>
      </c>
      <c r="D50" s="8" t="s">
        <v>14</v>
      </c>
      <c r="E50" s="8" t="s">
        <v>14</v>
      </c>
      <c r="F50" s="8" t="s">
        <v>15</v>
      </c>
      <c r="G50" s="8" t="s">
        <v>14</v>
      </c>
      <c r="H50" s="8" t="s">
        <v>15</v>
      </c>
      <c r="I50" s="8" t="s">
        <v>17</v>
      </c>
      <c r="J50" s="8" t="s">
        <v>17</v>
      </c>
    </row>
    <row r="51" spans="1:10" x14ac:dyDescent="0.3">
      <c r="A51" s="28">
        <v>50</v>
      </c>
      <c r="B51" s="82"/>
      <c r="C51" s="8" t="s">
        <v>15</v>
      </c>
      <c r="D51" s="8" t="s">
        <v>14</v>
      </c>
      <c r="E51" s="8" t="s">
        <v>14</v>
      </c>
      <c r="F51" s="8" t="s">
        <v>15</v>
      </c>
      <c r="G51" s="8" t="s">
        <v>15</v>
      </c>
      <c r="H51" s="8" t="s">
        <v>15</v>
      </c>
      <c r="I51" s="8" t="s">
        <v>18</v>
      </c>
      <c r="J51" s="8" t="s">
        <v>17</v>
      </c>
    </row>
    <row r="52" spans="1:10" x14ac:dyDescent="0.3">
      <c r="A52" s="28">
        <v>51</v>
      </c>
      <c r="B52" s="82"/>
      <c r="C52" s="8" t="s">
        <v>15</v>
      </c>
      <c r="D52" s="8" t="s">
        <v>14</v>
      </c>
      <c r="E52" s="8" t="s">
        <v>15</v>
      </c>
      <c r="F52" s="8" t="s">
        <v>14</v>
      </c>
      <c r="G52" s="8" t="s">
        <v>14</v>
      </c>
      <c r="H52" s="8" t="s">
        <v>15</v>
      </c>
      <c r="I52" s="8" t="s">
        <v>17</v>
      </c>
      <c r="J52" s="8" t="s">
        <v>17</v>
      </c>
    </row>
    <row r="53" spans="1:10" x14ac:dyDescent="0.3">
      <c r="A53" s="28">
        <v>52</v>
      </c>
      <c r="B53" s="82"/>
      <c r="C53" s="8" t="s">
        <v>15</v>
      </c>
      <c r="D53" s="8" t="s">
        <v>14</v>
      </c>
      <c r="E53" s="8" t="s">
        <v>15</v>
      </c>
      <c r="F53" s="8" t="s">
        <v>14</v>
      </c>
      <c r="G53" s="8" t="s">
        <v>15</v>
      </c>
      <c r="H53" s="8" t="s">
        <v>15</v>
      </c>
      <c r="I53" s="8" t="s">
        <v>18</v>
      </c>
      <c r="J53" s="8" t="s">
        <v>17</v>
      </c>
    </row>
    <row r="54" spans="1:10" x14ac:dyDescent="0.3">
      <c r="A54" s="28">
        <v>53</v>
      </c>
      <c r="B54" s="82"/>
      <c r="C54" s="8" t="s">
        <v>15</v>
      </c>
      <c r="D54" s="8" t="s">
        <v>14</v>
      </c>
      <c r="E54" s="8" t="s">
        <v>15</v>
      </c>
      <c r="F54" s="8" t="s">
        <v>15</v>
      </c>
      <c r="G54" s="8" t="s">
        <v>14</v>
      </c>
      <c r="H54" s="8" t="s">
        <v>15</v>
      </c>
      <c r="I54" s="8" t="s">
        <v>17</v>
      </c>
      <c r="J54" s="8" t="s">
        <v>17</v>
      </c>
    </row>
    <row r="55" spans="1:10" x14ac:dyDescent="0.3">
      <c r="A55" s="28">
        <v>54</v>
      </c>
      <c r="B55" s="82"/>
      <c r="C55" s="8" t="s">
        <v>15</v>
      </c>
      <c r="D55" s="8" t="s">
        <v>14</v>
      </c>
      <c r="E55" s="8" t="s">
        <v>15</v>
      </c>
      <c r="F55" s="8" t="s">
        <v>15</v>
      </c>
      <c r="G55" s="8" t="s">
        <v>15</v>
      </c>
      <c r="H55" s="8" t="s">
        <v>15</v>
      </c>
      <c r="I55" s="8" t="s">
        <v>18</v>
      </c>
      <c r="J55" s="8" t="s">
        <v>17</v>
      </c>
    </row>
    <row r="56" spans="1:10" x14ac:dyDescent="0.3">
      <c r="A56" s="28">
        <v>55</v>
      </c>
      <c r="B56" s="82"/>
      <c r="C56" s="8" t="s">
        <v>15</v>
      </c>
      <c r="D56" s="8" t="s">
        <v>15</v>
      </c>
      <c r="E56" s="8" t="s">
        <v>14</v>
      </c>
      <c r="F56" s="8" t="s">
        <v>14</v>
      </c>
      <c r="G56" s="8" t="s">
        <v>14</v>
      </c>
      <c r="H56" s="8" t="s">
        <v>15</v>
      </c>
      <c r="I56" s="8" t="s">
        <v>17</v>
      </c>
      <c r="J56" s="8" t="s">
        <v>17</v>
      </c>
    </row>
    <row r="57" spans="1:10" x14ac:dyDescent="0.3">
      <c r="A57" s="28">
        <v>56</v>
      </c>
      <c r="B57" s="82"/>
      <c r="C57" s="8" t="s">
        <v>15</v>
      </c>
      <c r="D57" s="8" t="s">
        <v>15</v>
      </c>
      <c r="E57" s="8" t="s">
        <v>14</v>
      </c>
      <c r="F57" s="8" t="s">
        <v>14</v>
      </c>
      <c r="G57" s="8" t="s">
        <v>15</v>
      </c>
      <c r="H57" s="8" t="s">
        <v>15</v>
      </c>
      <c r="I57" s="8" t="s">
        <v>18</v>
      </c>
      <c r="J57" s="8" t="s">
        <v>17</v>
      </c>
    </row>
    <row r="58" spans="1:10" x14ac:dyDescent="0.3">
      <c r="A58" s="28">
        <v>57</v>
      </c>
      <c r="B58" s="82"/>
      <c r="C58" s="8" t="s">
        <v>15</v>
      </c>
      <c r="D58" s="8" t="s">
        <v>15</v>
      </c>
      <c r="E58" s="8" t="s">
        <v>14</v>
      </c>
      <c r="F58" s="8" t="s">
        <v>15</v>
      </c>
      <c r="G58" s="8" t="s">
        <v>14</v>
      </c>
      <c r="H58" s="8" t="s">
        <v>15</v>
      </c>
      <c r="I58" s="8" t="s">
        <v>17</v>
      </c>
      <c r="J58" s="8" t="s">
        <v>17</v>
      </c>
    </row>
    <row r="59" spans="1:10" x14ac:dyDescent="0.3">
      <c r="A59" s="28">
        <v>58</v>
      </c>
      <c r="B59" s="82"/>
      <c r="C59" s="8" t="s">
        <v>15</v>
      </c>
      <c r="D59" s="8" t="s">
        <v>15</v>
      </c>
      <c r="E59" s="8" t="s">
        <v>14</v>
      </c>
      <c r="F59" s="8" t="s">
        <v>15</v>
      </c>
      <c r="G59" s="8" t="s">
        <v>15</v>
      </c>
      <c r="H59" s="8" t="s">
        <v>15</v>
      </c>
      <c r="I59" s="8" t="s">
        <v>18</v>
      </c>
      <c r="J59" s="8" t="s">
        <v>17</v>
      </c>
    </row>
    <row r="60" spans="1:10" x14ac:dyDescent="0.3">
      <c r="A60" s="28">
        <v>59</v>
      </c>
      <c r="B60" s="82"/>
      <c r="C60" s="8" t="s">
        <v>15</v>
      </c>
      <c r="D60" s="8" t="s">
        <v>15</v>
      </c>
      <c r="E60" s="8" t="s">
        <v>15</v>
      </c>
      <c r="F60" s="8" t="s">
        <v>14</v>
      </c>
      <c r="G60" s="8" t="s">
        <v>14</v>
      </c>
      <c r="H60" s="8" t="s">
        <v>15</v>
      </c>
      <c r="I60" s="8" t="s">
        <v>17</v>
      </c>
      <c r="J60" s="8" t="s">
        <v>17</v>
      </c>
    </row>
    <row r="61" spans="1:10" x14ac:dyDescent="0.3">
      <c r="A61" s="28">
        <v>60</v>
      </c>
      <c r="B61" s="82"/>
      <c r="C61" s="8" t="s">
        <v>15</v>
      </c>
      <c r="D61" s="8" t="s">
        <v>15</v>
      </c>
      <c r="E61" s="8" t="s">
        <v>15</v>
      </c>
      <c r="F61" s="8" t="s">
        <v>14</v>
      </c>
      <c r="G61" s="8" t="s">
        <v>15</v>
      </c>
      <c r="H61" s="8" t="s">
        <v>15</v>
      </c>
      <c r="I61" s="8" t="s">
        <v>18</v>
      </c>
      <c r="J61" s="8" t="s">
        <v>17</v>
      </c>
    </row>
    <row r="62" spans="1:10" x14ac:dyDescent="0.3">
      <c r="A62" s="28">
        <v>61</v>
      </c>
      <c r="B62" s="82"/>
      <c r="C62" s="8" t="s">
        <v>15</v>
      </c>
      <c r="D62" s="8" t="s">
        <v>15</v>
      </c>
      <c r="E62" s="8" t="s">
        <v>15</v>
      </c>
      <c r="F62" s="8" t="s">
        <v>15</v>
      </c>
      <c r="G62" s="8" t="s">
        <v>14</v>
      </c>
      <c r="H62" s="8" t="s">
        <v>15</v>
      </c>
      <c r="I62" s="8" t="s">
        <v>17</v>
      </c>
      <c r="J62" s="8" t="s">
        <v>17</v>
      </c>
    </row>
    <row r="63" spans="1:10" x14ac:dyDescent="0.3">
      <c r="A63" s="28">
        <v>62</v>
      </c>
      <c r="B63" s="82"/>
      <c r="C63" s="8" t="s">
        <v>15</v>
      </c>
      <c r="D63" s="8" t="s">
        <v>15</v>
      </c>
      <c r="E63" s="8" t="s">
        <v>15</v>
      </c>
      <c r="F63" s="8" t="s">
        <v>15</v>
      </c>
      <c r="G63" s="8" t="s">
        <v>15</v>
      </c>
      <c r="H63" s="8" t="s">
        <v>15</v>
      </c>
      <c r="I63" s="8" t="s">
        <v>18</v>
      </c>
      <c r="J63" s="8" t="s">
        <v>17</v>
      </c>
    </row>
    <row r="66" spans="2:2" ht="57.6" x14ac:dyDescent="0.3">
      <c r="B66" s="1" t="str">
        <f>B2</f>
        <v>Lessons with using workstations in the classroom or mobile devices for access educational resources on the school's server or from the Internet</v>
      </c>
    </row>
    <row r="67" spans="2:2" ht="57.6" x14ac:dyDescent="0.3">
      <c r="B67" s="1" t="str">
        <f>B33</f>
        <v>Lessons prepared by teachers and published on the school's server or on the external server (in the Internet) and accessed by pupils from home</v>
      </c>
    </row>
  </sheetData>
  <sheetProtection algorithmName="SHA-512" hashValue="qi9krPhxKhiceEUVmyYQVrEqXoLThs9tfXIQGbjtCTLEugxHgi+Eq9cBSDFNp4xtwbew3glddT6dQtk+po5PnA==" saltValue="r/5pbgA6+7VgrJVRqPTMug==" spinCount="100000" sheet="1" formatCells="0" formatColumns="0" formatRows="0" insertColumns="0" insertRows="0" insertHyperlinks="0" deleteColumns="0" deleteRows="0" sort="0" autoFilter="0" pivotTables="0"/>
  <mergeCells count="2">
    <mergeCell ref="B2:B32"/>
    <mergeCell ref="B33:B63"/>
  </mergeCells>
  <conditionalFormatting sqref="C2:H63">
    <cfRule type="containsText" dxfId="639" priority="4" operator="containsText" text="Y">
      <formula>NOT(ISERROR(SEARCH("Y",C2)))</formula>
    </cfRule>
    <cfRule type="containsText" dxfId="638" priority="5" operator="containsText" text="N">
      <formula>NOT(ISERROR(SEARCH("N",C2)))</formula>
    </cfRule>
  </conditionalFormatting>
  <conditionalFormatting sqref="I2:J63">
    <cfRule type="containsText" dxfId="637" priority="1" operator="containsText" text="Low">
      <formula>NOT(ISERROR(SEARCH("Low",I2)))</formula>
    </cfRule>
    <cfRule type="containsText" dxfId="636" priority="2" operator="containsText" text="High">
      <formula>NOT(ISERROR(SEARCH("High",I2)))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ckToMain">
                <anchor moveWithCells="1" sizeWithCells="1">
                  <from>
                    <xdr:col>1</xdr:col>
                    <xdr:colOff>152400</xdr:colOff>
                    <xdr:row>0</xdr:row>
                    <xdr:rowOff>76200</xdr:rowOff>
                  </from>
                  <to>
                    <xdr:col>1</xdr:col>
                    <xdr:colOff>2133600</xdr:colOff>
                    <xdr:row>0</xdr:row>
                    <xdr:rowOff>312420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3" operator="containsText" id="{62AF5913-AF3B-4A63-BC40-128F12B740D5}">
            <xm:f>NOT(ISERROR(SEARCH("-",I2)))</xm:f>
            <xm:f>"-"</xm:f>
            <x14:dxf>
              <font>
                <color rgb="FF9C5700"/>
              </font>
              <fill>
                <patternFill>
                  <bgColor rgb="FFFFEB9C"/>
                </patternFill>
              </fill>
            </x14:dxf>
          </x14:cfRule>
          <xm:sqref>I2:J63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E4"/>
  <sheetViews>
    <sheetView workbookViewId="0">
      <selection activeCell="E2" sqref="E2"/>
    </sheetView>
  </sheetViews>
  <sheetFormatPr defaultColWidth="9.109375" defaultRowHeight="14.4" x14ac:dyDescent="0.3"/>
  <cols>
    <col min="1" max="1" width="9.109375" style="8"/>
    <col min="2" max="2" width="30.6640625" style="8" customWidth="1"/>
    <col min="3" max="3" width="50.6640625" style="8" customWidth="1"/>
    <col min="4" max="4" width="14.88671875" style="8" customWidth="1"/>
    <col min="5" max="5" width="17.6640625" style="8" customWidth="1"/>
    <col min="6" max="16384" width="9.109375" style="8"/>
  </cols>
  <sheetData>
    <row r="1" spans="1:5" ht="28.8" x14ac:dyDescent="0.3">
      <c r="A1" s="29" t="s">
        <v>3</v>
      </c>
      <c r="B1" s="29" t="s">
        <v>1</v>
      </c>
      <c r="C1" s="29" t="s">
        <v>22</v>
      </c>
      <c r="D1" s="29" t="s">
        <v>50</v>
      </c>
      <c r="E1" s="29" t="s">
        <v>77</v>
      </c>
    </row>
    <row r="2" spans="1:5" ht="58.2" thickBot="1" x14ac:dyDescent="0.35">
      <c r="A2" s="30">
        <v>1</v>
      </c>
      <c r="B2" s="30" t="s">
        <v>17</v>
      </c>
      <c r="C2" s="30" t="s">
        <v>23</v>
      </c>
      <c r="D2" s="31">
        <v>-0.5</v>
      </c>
      <c r="E2" s="31">
        <v>0.05</v>
      </c>
    </row>
    <row r="3" spans="1:5" ht="44.4" thickTop="1" thickBot="1" x14ac:dyDescent="0.35">
      <c r="A3" s="32">
        <v>2</v>
      </c>
      <c r="B3" s="33" t="s">
        <v>21</v>
      </c>
      <c r="C3" s="33" t="s">
        <v>57</v>
      </c>
      <c r="D3" s="45" t="s">
        <v>16</v>
      </c>
      <c r="E3" s="47">
        <v>5.0000000000000001E-3</v>
      </c>
    </row>
    <row r="4" spans="1:5" ht="29.4" thickTop="1" x14ac:dyDescent="0.3">
      <c r="A4" s="35">
        <v>3</v>
      </c>
      <c r="B4" s="35" t="s">
        <v>18</v>
      </c>
      <c r="C4" s="35" t="s">
        <v>58</v>
      </c>
      <c r="D4" s="31">
        <v>0.5</v>
      </c>
      <c r="E4" s="46">
        <v>5.0000000000000001E-4</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ackToMainQL">
                <anchor moveWithCells="1" sizeWithCells="1">
                  <from>
                    <xdr:col>0</xdr:col>
                    <xdr:colOff>45720</xdr:colOff>
                    <xdr:row>4</xdr:row>
                    <xdr:rowOff>114300</xdr:rowOff>
                  </from>
                  <to>
                    <xdr:col>1</xdr:col>
                    <xdr:colOff>1417320</xdr:colOff>
                    <xdr:row>5</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dimension ref="A1:C4"/>
  <sheetViews>
    <sheetView workbookViewId="0">
      <selection activeCell="C5" sqref="C5"/>
    </sheetView>
  </sheetViews>
  <sheetFormatPr defaultColWidth="9.109375" defaultRowHeight="14.4" x14ac:dyDescent="0.3"/>
  <cols>
    <col min="1" max="1" width="9.109375" style="49"/>
    <col min="2" max="2" width="30.6640625" style="49" customWidth="1"/>
    <col min="3" max="3" width="88.88671875" style="49" customWidth="1"/>
    <col min="4" max="16384" width="9.109375" style="49"/>
  </cols>
  <sheetData>
    <row r="1" spans="1:3" x14ac:dyDescent="0.3">
      <c r="A1" s="29" t="s">
        <v>3</v>
      </c>
      <c r="B1" s="29" t="s">
        <v>45</v>
      </c>
      <c r="C1" s="29" t="s">
        <v>22</v>
      </c>
    </row>
    <row r="2" spans="1:3" ht="43.2" x14ac:dyDescent="0.3">
      <c r="A2" s="50">
        <v>1</v>
      </c>
      <c r="B2" s="50" t="s">
        <v>68</v>
      </c>
      <c r="C2" s="50" t="s">
        <v>72</v>
      </c>
    </row>
    <row r="3" spans="1:3" ht="72" x14ac:dyDescent="0.3">
      <c r="A3" s="50">
        <v>2</v>
      </c>
      <c r="B3" s="50" t="s">
        <v>69</v>
      </c>
      <c r="C3" s="50" t="s">
        <v>71</v>
      </c>
    </row>
    <row r="4" spans="1:3" ht="72" x14ac:dyDescent="0.3">
      <c r="A4" s="50">
        <v>3</v>
      </c>
      <c r="B4" s="50" t="s">
        <v>70</v>
      </c>
      <c r="C4" s="50" t="s">
        <v>73</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ackToMainPT">
                <anchor moveWithCells="1" sizeWithCells="1">
                  <from>
                    <xdr:col>0</xdr:col>
                    <xdr:colOff>45720</xdr:colOff>
                    <xdr:row>4</xdr:row>
                    <xdr:rowOff>114300</xdr:rowOff>
                  </from>
                  <to>
                    <xdr:col>1</xdr:col>
                    <xdr:colOff>1417320</xdr:colOff>
                    <xdr:row>5</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4"/>
  <sheetViews>
    <sheetView workbookViewId="0">
      <selection activeCell="C3" sqref="C3"/>
    </sheetView>
  </sheetViews>
  <sheetFormatPr defaultColWidth="9.109375" defaultRowHeight="14.4" x14ac:dyDescent="0.3"/>
  <cols>
    <col min="1" max="1" width="9.109375" style="8"/>
    <col min="2" max="2" width="30.6640625" style="8" customWidth="1"/>
    <col min="3" max="3" width="50.6640625" style="8" customWidth="1"/>
    <col min="4" max="4" width="20.44140625" style="8" customWidth="1"/>
    <col min="5" max="16384" width="9.109375" style="8"/>
  </cols>
  <sheetData>
    <row r="1" spans="1:4" x14ac:dyDescent="0.3">
      <c r="A1" s="29" t="s">
        <v>3</v>
      </c>
      <c r="B1" s="29" t="s">
        <v>24</v>
      </c>
      <c r="C1" s="29" t="s">
        <v>22</v>
      </c>
      <c r="D1" s="29" t="s">
        <v>50</v>
      </c>
    </row>
    <row r="2" spans="1:4" ht="29.4" thickBot="1" x14ac:dyDescent="0.35">
      <c r="A2" s="36">
        <v>1</v>
      </c>
      <c r="B2" s="36" t="s">
        <v>17</v>
      </c>
      <c r="C2" s="36" t="s">
        <v>25</v>
      </c>
      <c r="D2" s="31">
        <v>-0.5</v>
      </c>
    </row>
    <row r="3" spans="1:4" ht="30" thickTop="1" thickBot="1" x14ac:dyDescent="0.35">
      <c r="A3" s="32">
        <v>2</v>
      </c>
      <c r="B3" s="33" t="s">
        <v>21</v>
      </c>
      <c r="C3" s="33" t="s">
        <v>26</v>
      </c>
      <c r="D3" s="34" t="s">
        <v>16</v>
      </c>
    </row>
    <row r="4" spans="1:4" ht="29.4" thickTop="1" x14ac:dyDescent="0.3">
      <c r="A4" s="35">
        <v>3</v>
      </c>
      <c r="B4" s="35" t="s">
        <v>18</v>
      </c>
      <c r="C4" s="35" t="s">
        <v>27</v>
      </c>
      <c r="D4" s="31">
        <v>0.5</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ckToMainIL">
                <anchor moveWithCells="1" sizeWithCells="1">
                  <from>
                    <xdr:col>0</xdr:col>
                    <xdr:colOff>45720</xdr:colOff>
                    <xdr:row>4</xdr:row>
                    <xdr:rowOff>114300</xdr:rowOff>
                  </from>
                  <to>
                    <xdr:col>1</xdr:col>
                    <xdr:colOff>1417320</xdr:colOff>
                    <xdr:row>5</xdr:row>
                    <xdr:rowOff>160020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dimension ref="A1:Q100"/>
  <sheetViews>
    <sheetView workbookViewId="0">
      <selection activeCell="P13" sqref="P13"/>
    </sheetView>
  </sheetViews>
  <sheetFormatPr defaultColWidth="9.109375" defaultRowHeight="14.4" x14ac:dyDescent="0.3"/>
  <cols>
    <col min="1" max="1" width="4.88671875" style="2" customWidth="1"/>
    <col min="2" max="2" width="30.6640625" style="2" customWidth="1"/>
    <col min="3" max="8" width="9.6640625" style="2" customWidth="1"/>
    <col min="9" max="9" width="10.5546875" style="2" bestFit="1" customWidth="1"/>
    <col min="10" max="11" width="9.6640625" style="2" customWidth="1"/>
    <col min="12" max="12" width="12.33203125" style="2" bestFit="1" customWidth="1"/>
    <col min="13" max="13" width="9.6640625" style="2" customWidth="1"/>
    <col min="14" max="15" width="9.6640625" style="5" customWidth="1"/>
    <col min="16" max="16" width="10.109375" style="2" bestFit="1" customWidth="1"/>
    <col min="17" max="16384" width="9.109375" style="2"/>
  </cols>
  <sheetData>
    <row r="1" spans="1:17" x14ac:dyDescent="0.3">
      <c r="A1" s="110" t="s">
        <v>3</v>
      </c>
      <c r="B1" s="110" t="s">
        <v>32</v>
      </c>
      <c r="C1" s="111" t="s">
        <v>56</v>
      </c>
      <c r="D1" s="112"/>
      <c r="E1" s="112"/>
      <c r="F1" s="112"/>
      <c r="G1" s="112"/>
      <c r="H1" s="112"/>
      <c r="I1" s="112"/>
      <c r="J1" s="112"/>
      <c r="K1" s="112"/>
      <c r="L1" s="112"/>
      <c r="M1" s="112"/>
      <c r="N1" s="113"/>
      <c r="O1" s="113"/>
      <c r="P1" s="5"/>
      <c r="Q1" s="8"/>
    </row>
    <row r="2" spans="1:17" ht="190.5" customHeight="1" x14ac:dyDescent="0.3">
      <c r="A2" s="110"/>
      <c r="B2" s="110"/>
      <c r="C2" s="68" t="str">
        <f>Services!B4</f>
        <v>Streaming video, including interactive online TV, live-stream trainings, individualized live video instructions etc.</v>
      </c>
      <c r="D2" s="68" t="str">
        <f>Services!B5</f>
        <v>Services for group &amp; individual communication, including webinars, conferences, meetings, tutoring, etc.</v>
      </c>
      <c r="E2" s="68" t="str">
        <f>Services!B6</f>
        <v>Online virtual simulators, educational online games, etc.</v>
      </c>
      <c r="F2" s="68" t="str">
        <f>Services!B7</f>
        <v>Services for group work (virtual boards, online graphics, etc.)</v>
      </c>
      <c r="G2" s="68" t="str">
        <f>Services!B8</f>
        <v>Other Real Time Traffic Services</v>
      </c>
      <c r="H2" s="68" t="str">
        <f>Services!B9</f>
        <v>Recorded educational clips, video instructions, trainings, Individualized recorded video, multimedia courses etc.</v>
      </c>
      <c r="I2" s="68" t="str">
        <f>Services!B10</f>
        <v>Learning management systems, including libraries, repositories, databases, educational web-services, services for storing information etc.</v>
      </c>
      <c r="J2" s="68" t="str">
        <f>Services!B11</f>
        <v>Web-serfing, Search engines, bookmarking services, etc. E-mail, FTP and other classic services</v>
      </c>
      <c r="K2" s="68" t="str">
        <f>Services!B12</f>
        <v>Discussion boards, Social media &amp; networks, forums etc.</v>
      </c>
      <c r="L2" s="68" t="str">
        <f>Services!B13</f>
        <v>Calendars and organizers, including lessons planning. Government e-portal access. Reporting Services etc.</v>
      </c>
      <c r="M2" s="68" t="str">
        <f>Services!B14</f>
        <v>Other Non-Real Time Traffic Services</v>
      </c>
      <c r="N2" s="68" t="str">
        <f>Services!B15</f>
        <v>User Defined Service #1</v>
      </c>
      <c r="O2" s="68" t="str">
        <f>Services!B16</f>
        <v>User Defined Service #2</v>
      </c>
      <c r="P2" s="5" t="s">
        <v>51</v>
      </c>
      <c r="Q2" s="8"/>
    </row>
    <row r="3" spans="1:17" ht="43.2" x14ac:dyDescent="0.3">
      <c r="A3" s="9">
        <v>1</v>
      </c>
      <c r="B3" s="9" t="s">
        <v>35</v>
      </c>
      <c r="C3" s="69" t="s">
        <v>18</v>
      </c>
      <c r="D3" s="69" t="s">
        <v>18</v>
      </c>
      <c r="E3" s="69" t="s">
        <v>43</v>
      </c>
      <c r="F3" s="69" t="s">
        <v>18</v>
      </c>
      <c r="G3" s="69" t="s">
        <v>43</v>
      </c>
      <c r="H3" s="69" t="s">
        <v>18</v>
      </c>
      <c r="I3" s="69" t="s">
        <v>43</v>
      </c>
      <c r="J3" s="69" t="s">
        <v>18</v>
      </c>
      <c r="K3" s="69" t="s">
        <v>43</v>
      </c>
      <c r="L3" s="69" t="s">
        <v>43</v>
      </c>
      <c r="M3" s="69" t="s">
        <v>43</v>
      </c>
      <c r="N3" s="69" t="s">
        <v>43</v>
      </c>
      <c r="O3" s="69" t="s">
        <v>43</v>
      </c>
      <c r="P3" s="5">
        <v>10</v>
      </c>
      <c r="Q3" s="10" t="s">
        <v>43</v>
      </c>
    </row>
    <row r="4" spans="1:17" ht="28.8" x14ac:dyDescent="0.3">
      <c r="A4" s="9">
        <v>2</v>
      </c>
      <c r="B4" s="9" t="s">
        <v>33</v>
      </c>
      <c r="C4" s="69" t="s">
        <v>18</v>
      </c>
      <c r="D4" s="69" t="s">
        <v>18</v>
      </c>
      <c r="E4" s="69" t="s">
        <v>43</v>
      </c>
      <c r="F4" s="69" t="s">
        <v>18</v>
      </c>
      <c r="G4" s="69" t="s">
        <v>43</v>
      </c>
      <c r="H4" s="69" t="s">
        <v>18</v>
      </c>
      <c r="I4" s="69" t="s">
        <v>43</v>
      </c>
      <c r="J4" s="69" t="s">
        <v>18</v>
      </c>
      <c r="K4" s="69" t="s">
        <v>43</v>
      </c>
      <c r="L4" s="69" t="s">
        <v>43</v>
      </c>
      <c r="M4" s="69" t="s">
        <v>43</v>
      </c>
      <c r="N4" s="69" t="s">
        <v>43</v>
      </c>
      <c r="O4" s="69" t="s">
        <v>43</v>
      </c>
      <c r="P4" s="5">
        <v>10</v>
      </c>
      <c r="Q4" s="10" t="s">
        <v>17</v>
      </c>
    </row>
    <row r="5" spans="1:17" ht="43.2" x14ac:dyDescent="0.3">
      <c r="A5" s="9">
        <v>3</v>
      </c>
      <c r="B5" s="9" t="s">
        <v>36</v>
      </c>
      <c r="C5" s="69" t="s">
        <v>18</v>
      </c>
      <c r="D5" s="69" t="s">
        <v>18</v>
      </c>
      <c r="E5" s="69" t="s">
        <v>18</v>
      </c>
      <c r="F5" s="69" t="s">
        <v>18</v>
      </c>
      <c r="G5" s="69" t="s">
        <v>18</v>
      </c>
      <c r="H5" s="69" t="s">
        <v>18</v>
      </c>
      <c r="I5" s="69" t="s">
        <v>18</v>
      </c>
      <c r="J5" s="69" t="s">
        <v>18</v>
      </c>
      <c r="K5" s="69" t="s">
        <v>18</v>
      </c>
      <c r="L5" s="69" t="s">
        <v>43</v>
      </c>
      <c r="M5" s="69" t="s">
        <v>43</v>
      </c>
      <c r="N5" s="69" t="s">
        <v>43</v>
      </c>
      <c r="O5" s="69" t="s">
        <v>43</v>
      </c>
      <c r="P5" s="5">
        <v>10</v>
      </c>
      <c r="Q5" s="10" t="s">
        <v>21</v>
      </c>
    </row>
    <row r="6" spans="1:17" ht="28.8" x14ac:dyDescent="0.3">
      <c r="A6" s="9">
        <v>4</v>
      </c>
      <c r="B6" s="9" t="s">
        <v>34</v>
      </c>
      <c r="C6" s="69" t="s">
        <v>18</v>
      </c>
      <c r="D6" s="69" t="s">
        <v>18</v>
      </c>
      <c r="E6" s="69" t="s">
        <v>43</v>
      </c>
      <c r="F6" s="69" t="s">
        <v>18</v>
      </c>
      <c r="G6" s="69" t="s">
        <v>43</v>
      </c>
      <c r="H6" s="69" t="s">
        <v>18</v>
      </c>
      <c r="I6" s="69" t="s">
        <v>43</v>
      </c>
      <c r="J6" s="69" t="s">
        <v>18</v>
      </c>
      <c r="K6" s="69" t="s">
        <v>43</v>
      </c>
      <c r="L6" s="69" t="s">
        <v>43</v>
      </c>
      <c r="M6" s="69" t="s">
        <v>43</v>
      </c>
      <c r="N6" s="69" t="s">
        <v>43</v>
      </c>
      <c r="O6" s="69" t="s">
        <v>43</v>
      </c>
      <c r="P6" s="5">
        <v>10</v>
      </c>
      <c r="Q6" s="10" t="s">
        <v>18</v>
      </c>
    </row>
    <row r="7" spans="1:17" ht="43.2" x14ac:dyDescent="0.3">
      <c r="A7" s="9">
        <v>5</v>
      </c>
      <c r="B7" s="9" t="s">
        <v>37</v>
      </c>
      <c r="C7" s="69" t="s">
        <v>18</v>
      </c>
      <c r="D7" s="69" t="s">
        <v>18</v>
      </c>
      <c r="E7" s="69" t="s">
        <v>18</v>
      </c>
      <c r="F7" s="69" t="s">
        <v>18</v>
      </c>
      <c r="G7" s="69" t="s">
        <v>18</v>
      </c>
      <c r="H7" s="69" t="s">
        <v>18</v>
      </c>
      <c r="I7" s="69" t="s">
        <v>18</v>
      </c>
      <c r="J7" s="69" t="s">
        <v>18</v>
      </c>
      <c r="K7" s="69" t="s">
        <v>18</v>
      </c>
      <c r="L7" s="69" t="s">
        <v>18</v>
      </c>
      <c r="M7" s="69" t="s">
        <v>18</v>
      </c>
      <c r="N7" s="69" t="s">
        <v>43</v>
      </c>
      <c r="O7" s="69" t="s">
        <v>43</v>
      </c>
      <c r="P7" s="5">
        <v>10</v>
      </c>
      <c r="Q7" s="10"/>
    </row>
    <row r="8" spans="1:17" ht="28.8" x14ac:dyDescent="0.3">
      <c r="A8" s="9">
        <v>6</v>
      </c>
      <c r="B8" s="9" t="s">
        <v>38</v>
      </c>
      <c r="C8" s="69" t="s">
        <v>18</v>
      </c>
      <c r="D8" s="69" t="s">
        <v>18</v>
      </c>
      <c r="E8" s="69" t="s">
        <v>43</v>
      </c>
      <c r="F8" s="69" t="s">
        <v>18</v>
      </c>
      <c r="G8" s="69" t="s">
        <v>43</v>
      </c>
      <c r="H8" s="69" t="s">
        <v>18</v>
      </c>
      <c r="I8" s="69" t="s">
        <v>43</v>
      </c>
      <c r="J8" s="69" t="s">
        <v>18</v>
      </c>
      <c r="K8" s="69" t="s">
        <v>43</v>
      </c>
      <c r="L8" s="69" t="s">
        <v>43</v>
      </c>
      <c r="M8" s="69" t="s">
        <v>43</v>
      </c>
      <c r="N8" s="69" t="s">
        <v>43</v>
      </c>
      <c r="O8" s="69" t="s">
        <v>43</v>
      </c>
      <c r="P8" s="5">
        <v>10</v>
      </c>
      <c r="Q8" s="8"/>
    </row>
    <row r="9" spans="1:17" s="3" customFormat="1" ht="43.2" x14ac:dyDescent="0.3">
      <c r="A9" s="9">
        <v>7</v>
      </c>
      <c r="B9" s="9" t="s">
        <v>39</v>
      </c>
      <c r="C9" s="69" t="s">
        <v>18</v>
      </c>
      <c r="D9" s="69" t="s">
        <v>18</v>
      </c>
      <c r="E9" s="69" t="s">
        <v>18</v>
      </c>
      <c r="F9" s="69" t="s">
        <v>18</v>
      </c>
      <c r="G9" s="69" t="s">
        <v>18</v>
      </c>
      <c r="H9" s="69" t="s">
        <v>18</v>
      </c>
      <c r="I9" s="69" t="s">
        <v>18</v>
      </c>
      <c r="J9" s="69" t="s">
        <v>18</v>
      </c>
      <c r="K9" s="69" t="s">
        <v>18</v>
      </c>
      <c r="L9" s="69" t="s">
        <v>18</v>
      </c>
      <c r="M9" s="69" t="s">
        <v>18</v>
      </c>
      <c r="N9" s="69" t="s">
        <v>43</v>
      </c>
      <c r="O9" s="69" t="s">
        <v>43</v>
      </c>
      <c r="P9" s="5">
        <v>10</v>
      </c>
      <c r="Q9" s="8"/>
    </row>
    <row r="10" spans="1:17" s="3" customFormat="1" ht="33.75" customHeight="1" x14ac:dyDescent="0.3">
      <c r="A10" s="9">
        <v>8</v>
      </c>
      <c r="B10" s="9" t="s">
        <v>40</v>
      </c>
      <c r="C10" s="69" t="s">
        <v>18</v>
      </c>
      <c r="D10" s="69" t="s">
        <v>18</v>
      </c>
      <c r="E10" s="69" t="s">
        <v>43</v>
      </c>
      <c r="F10" s="69" t="s">
        <v>18</v>
      </c>
      <c r="G10" s="69" t="s">
        <v>43</v>
      </c>
      <c r="H10" s="69" t="s">
        <v>18</v>
      </c>
      <c r="I10" s="69" t="s">
        <v>43</v>
      </c>
      <c r="J10" s="69" t="s">
        <v>18</v>
      </c>
      <c r="K10" s="69" t="s">
        <v>43</v>
      </c>
      <c r="L10" s="69" t="s">
        <v>18</v>
      </c>
      <c r="M10" s="69" t="s">
        <v>43</v>
      </c>
      <c r="N10" s="69" t="s">
        <v>43</v>
      </c>
      <c r="O10" s="69" t="s">
        <v>43</v>
      </c>
      <c r="P10" s="5">
        <v>10</v>
      </c>
      <c r="Q10" s="8"/>
    </row>
    <row r="11" spans="1:17" ht="43.2" x14ac:dyDescent="0.3">
      <c r="A11" s="9">
        <v>9</v>
      </c>
      <c r="B11" s="9" t="s">
        <v>41</v>
      </c>
      <c r="C11" s="69" t="s">
        <v>18</v>
      </c>
      <c r="D11" s="69" t="s">
        <v>18</v>
      </c>
      <c r="E11" s="69" t="s">
        <v>18</v>
      </c>
      <c r="F11" s="69" t="s">
        <v>18</v>
      </c>
      <c r="G11" s="69" t="s">
        <v>18</v>
      </c>
      <c r="H11" s="69" t="s">
        <v>18</v>
      </c>
      <c r="I11" s="69" t="s">
        <v>18</v>
      </c>
      <c r="J11" s="69" t="s">
        <v>18</v>
      </c>
      <c r="K11" s="69" t="s">
        <v>18</v>
      </c>
      <c r="L11" s="69" t="s">
        <v>18</v>
      </c>
      <c r="M11" s="69" t="s">
        <v>18</v>
      </c>
      <c r="N11" s="69" t="s">
        <v>43</v>
      </c>
      <c r="O11" s="69" t="s">
        <v>43</v>
      </c>
      <c r="P11" s="5">
        <v>10</v>
      </c>
      <c r="Q11" s="8"/>
    </row>
    <row r="12" spans="1:17" ht="28.8" x14ac:dyDescent="0.3">
      <c r="A12" s="9">
        <v>10</v>
      </c>
      <c r="B12" s="9" t="s">
        <v>42</v>
      </c>
      <c r="C12" s="69" t="s">
        <v>18</v>
      </c>
      <c r="D12" s="69" t="s">
        <v>18</v>
      </c>
      <c r="E12" s="69" t="s">
        <v>43</v>
      </c>
      <c r="F12" s="69" t="s">
        <v>18</v>
      </c>
      <c r="G12" s="69" t="s">
        <v>43</v>
      </c>
      <c r="H12" s="69" t="s">
        <v>18</v>
      </c>
      <c r="I12" s="69" t="s">
        <v>43</v>
      </c>
      <c r="J12" s="69" t="s">
        <v>18</v>
      </c>
      <c r="K12" s="69" t="s">
        <v>43</v>
      </c>
      <c r="L12" s="69" t="s">
        <v>18</v>
      </c>
      <c r="M12" s="69" t="s">
        <v>43</v>
      </c>
      <c r="N12" s="69" t="s">
        <v>43</v>
      </c>
      <c r="O12" s="69" t="s">
        <v>43</v>
      </c>
      <c r="P12" s="5">
        <v>10</v>
      </c>
      <c r="Q12" s="8"/>
    </row>
    <row r="13" spans="1:17" ht="28.8" x14ac:dyDescent="0.3">
      <c r="A13" s="55">
        <v>11</v>
      </c>
      <c r="B13" s="55" t="s">
        <v>81</v>
      </c>
      <c r="C13" s="69" t="s">
        <v>18</v>
      </c>
      <c r="D13" s="69" t="s">
        <v>18</v>
      </c>
      <c r="E13" s="69" t="s">
        <v>43</v>
      </c>
      <c r="F13" s="69" t="s">
        <v>18</v>
      </c>
      <c r="G13" s="69" t="s">
        <v>43</v>
      </c>
      <c r="H13" s="69" t="s">
        <v>18</v>
      </c>
      <c r="I13" s="69" t="s">
        <v>43</v>
      </c>
      <c r="J13" s="69" t="s">
        <v>18</v>
      </c>
      <c r="K13" s="69" t="s">
        <v>43</v>
      </c>
      <c r="L13" s="69" t="s">
        <v>18</v>
      </c>
      <c r="M13" s="69" t="s">
        <v>43</v>
      </c>
      <c r="N13" s="69" t="s">
        <v>43</v>
      </c>
      <c r="O13" s="69" t="s">
        <v>43</v>
      </c>
      <c r="P13" s="5">
        <v>0</v>
      </c>
      <c r="Q13" s="8"/>
    </row>
    <row r="14" spans="1:17" ht="24.75" customHeight="1" x14ac:dyDescent="0.3">
      <c r="A14" s="55">
        <v>12</v>
      </c>
      <c r="B14" s="55" t="s">
        <v>82</v>
      </c>
      <c r="C14" s="69" t="s">
        <v>43</v>
      </c>
      <c r="D14" s="69" t="s">
        <v>43</v>
      </c>
      <c r="E14" s="69" t="s">
        <v>43</v>
      </c>
      <c r="F14" s="69" t="s">
        <v>43</v>
      </c>
      <c r="G14" s="69" t="s">
        <v>43</v>
      </c>
      <c r="H14" s="69" t="s">
        <v>43</v>
      </c>
      <c r="I14" s="69" t="s">
        <v>43</v>
      </c>
      <c r="J14" s="69" t="s">
        <v>43</v>
      </c>
      <c r="K14" s="69" t="s">
        <v>43</v>
      </c>
      <c r="L14" s="69" t="s">
        <v>43</v>
      </c>
      <c r="M14" s="69" t="s">
        <v>43</v>
      </c>
      <c r="N14" s="69" t="s">
        <v>43</v>
      </c>
      <c r="O14" s="69" t="s">
        <v>43</v>
      </c>
      <c r="P14" s="5">
        <v>0</v>
      </c>
    </row>
    <row r="15" spans="1:17" ht="25.5" customHeight="1" x14ac:dyDescent="0.3">
      <c r="A15" s="55">
        <v>13</v>
      </c>
      <c r="B15" s="55" t="s">
        <v>83</v>
      </c>
      <c r="C15" s="69" t="s">
        <v>43</v>
      </c>
      <c r="D15" s="69" t="s">
        <v>43</v>
      </c>
      <c r="E15" s="69" t="s">
        <v>43</v>
      </c>
      <c r="F15" s="69" t="s">
        <v>43</v>
      </c>
      <c r="G15" s="69" t="s">
        <v>43</v>
      </c>
      <c r="H15" s="69" t="s">
        <v>43</v>
      </c>
      <c r="I15" s="69" t="s">
        <v>43</v>
      </c>
      <c r="J15" s="69" t="s">
        <v>43</v>
      </c>
      <c r="K15" s="69" t="s">
        <v>43</v>
      </c>
      <c r="L15" s="69" t="s">
        <v>43</v>
      </c>
      <c r="M15" s="69" t="s">
        <v>43</v>
      </c>
      <c r="N15" s="69" t="s">
        <v>43</v>
      </c>
      <c r="O15" s="69" t="s">
        <v>43</v>
      </c>
      <c r="P15" s="5">
        <v>0</v>
      </c>
    </row>
    <row r="16" spans="1:17" x14ac:dyDescent="0.3">
      <c r="A16" s="114" t="s">
        <v>84</v>
      </c>
      <c r="B16" s="114"/>
      <c r="C16" s="114"/>
      <c r="D16" s="114"/>
      <c r="E16" s="114"/>
      <c r="F16" s="114"/>
      <c r="G16" s="114"/>
      <c r="H16" s="114"/>
      <c r="I16" s="114"/>
      <c r="J16" s="114"/>
      <c r="K16" s="114"/>
      <c r="L16" s="114"/>
      <c r="M16" s="114"/>
      <c r="N16" s="114"/>
      <c r="O16" s="114"/>
      <c r="P16" s="8">
        <f>SUM(P3:P15)</f>
        <v>100</v>
      </c>
    </row>
    <row r="17" spans="1:15" x14ac:dyDescent="0.3">
      <c r="A17" s="93"/>
      <c r="B17" s="93"/>
      <c r="C17" s="93"/>
      <c r="D17" s="93"/>
      <c r="E17" s="93"/>
      <c r="F17" s="93"/>
      <c r="G17" s="93"/>
      <c r="H17" s="93"/>
      <c r="I17" s="93"/>
      <c r="J17" s="93"/>
      <c r="K17" s="93"/>
      <c r="L17" s="93"/>
      <c r="M17" s="93"/>
      <c r="N17" s="93"/>
      <c r="O17" s="93"/>
    </row>
    <row r="18" spans="1:15" x14ac:dyDescent="0.3">
      <c r="A18" s="93"/>
      <c r="B18" s="93"/>
      <c r="C18" s="93"/>
      <c r="D18" s="93"/>
      <c r="E18" s="93"/>
      <c r="F18" s="93"/>
      <c r="G18" s="93"/>
      <c r="H18" s="93"/>
      <c r="I18" s="93"/>
      <c r="J18" s="93"/>
      <c r="K18" s="93"/>
      <c r="L18" s="93"/>
      <c r="M18" s="93"/>
      <c r="N18" s="93"/>
      <c r="O18" s="93"/>
    </row>
    <row r="19" spans="1:15" x14ac:dyDescent="0.3">
      <c r="A19" s="93"/>
      <c r="B19" s="93"/>
      <c r="C19" s="93"/>
      <c r="D19" s="93"/>
      <c r="E19" s="93"/>
      <c r="F19" s="93"/>
      <c r="G19" s="93"/>
      <c r="H19" s="93"/>
      <c r="I19" s="93"/>
      <c r="J19" s="93"/>
      <c r="K19" s="93"/>
      <c r="L19" s="93"/>
      <c r="M19" s="93"/>
      <c r="N19" s="93"/>
      <c r="O19" s="93"/>
    </row>
    <row r="20" spans="1:15" x14ac:dyDescent="0.3">
      <c r="A20" s="93"/>
      <c r="B20" s="93"/>
      <c r="C20" s="93"/>
      <c r="D20" s="93"/>
      <c r="E20" s="93"/>
      <c r="F20" s="93"/>
      <c r="G20" s="93"/>
      <c r="H20" s="93"/>
      <c r="I20" s="93"/>
      <c r="J20" s="93"/>
      <c r="K20" s="93"/>
      <c r="L20" s="93"/>
      <c r="M20" s="93"/>
      <c r="N20" s="93"/>
      <c r="O20" s="93"/>
    </row>
    <row r="21" spans="1:15" x14ac:dyDescent="0.3">
      <c r="A21" s="93"/>
      <c r="B21" s="93"/>
      <c r="C21" s="93"/>
      <c r="D21" s="93"/>
      <c r="E21" s="93"/>
      <c r="F21" s="93"/>
      <c r="G21" s="93"/>
      <c r="H21" s="93"/>
      <c r="I21" s="93"/>
      <c r="J21" s="93"/>
      <c r="K21" s="93"/>
      <c r="L21" s="93"/>
      <c r="M21" s="93"/>
      <c r="N21" s="93"/>
      <c r="O21" s="93"/>
    </row>
    <row r="22" spans="1:15" x14ac:dyDescent="0.3">
      <c r="A22" s="93"/>
      <c r="B22" s="93"/>
      <c r="C22" s="93"/>
      <c r="D22" s="93"/>
      <c r="E22" s="93"/>
      <c r="F22" s="93"/>
      <c r="G22" s="93"/>
      <c r="H22" s="93"/>
      <c r="I22" s="93"/>
      <c r="J22" s="93"/>
      <c r="K22" s="93"/>
      <c r="L22" s="93"/>
      <c r="M22" s="93"/>
      <c r="N22" s="93"/>
      <c r="O22" s="93"/>
    </row>
    <row r="23" spans="1:15" x14ac:dyDescent="0.3">
      <c r="A23" s="93"/>
      <c r="B23" s="93"/>
      <c r="C23" s="93"/>
      <c r="D23" s="93"/>
      <c r="E23" s="93"/>
      <c r="F23" s="93"/>
      <c r="G23" s="93"/>
      <c r="H23" s="93"/>
      <c r="I23" s="93"/>
      <c r="J23" s="93"/>
      <c r="K23" s="93"/>
      <c r="L23" s="93"/>
      <c r="M23" s="93"/>
      <c r="N23" s="93"/>
      <c r="O23" s="93"/>
    </row>
    <row r="100" spans="1:16" x14ac:dyDescent="0.3">
      <c r="A100" s="4">
        <f>MAX(A3:A99)</f>
        <v>13</v>
      </c>
      <c r="P100" s="5"/>
    </row>
  </sheetData>
  <sheetProtection formatCells="0" formatColumns="0" formatRows="0" insertColumns="0" insertRows="0" insertHyperlinks="0" deleteColumns="0" deleteRows="0" sort="0" autoFilter="0" pivotTables="0"/>
  <mergeCells count="4">
    <mergeCell ref="A1:A2"/>
    <mergeCell ref="B1:B2"/>
    <mergeCell ref="C1:O1"/>
    <mergeCell ref="A16:O23"/>
  </mergeCells>
  <conditionalFormatting sqref="E4 G4">
    <cfRule type="containsText" dxfId="634" priority="631" operator="containsText" text="High">
      <formula>NOT(ISERROR(SEARCH("High",E4)))</formula>
    </cfRule>
    <cfRule type="containsText" dxfId="633" priority="632" operator="containsText" text="Medium">
      <formula>NOT(ISERROR(SEARCH("Medium",E4)))</formula>
    </cfRule>
    <cfRule type="containsText" dxfId="632" priority="633" operator="containsText" text="Low">
      <formula>NOT(ISERROR(SEARCH("Low",E4)))</formula>
    </cfRule>
    <cfRule type="containsText" dxfId="631" priority="635" operator="containsText" text="N/U">
      <formula>NOT(ISERROR(SEARCH("N/U",E4)))</formula>
    </cfRule>
  </conditionalFormatting>
  <conditionalFormatting sqref="N4">
    <cfRule type="containsText" dxfId="630" priority="626" operator="containsText" text="High">
      <formula>NOT(ISERROR(SEARCH("High",N4)))</formula>
    </cfRule>
    <cfRule type="containsText" dxfId="629" priority="627" operator="containsText" text="Medium">
      <formula>NOT(ISERROR(SEARCH("Medium",N4)))</formula>
    </cfRule>
    <cfRule type="containsText" dxfId="628" priority="628" operator="containsText" text="Low">
      <formula>NOT(ISERROR(SEARCH("Low",N4)))</formula>
    </cfRule>
    <cfRule type="containsText" dxfId="627" priority="630" operator="containsText" text="N/U">
      <formula>NOT(ISERROR(SEARCH("N/U",N4)))</formula>
    </cfRule>
  </conditionalFormatting>
  <conditionalFormatting sqref="O4">
    <cfRule type="containsText" dxfId="626" priority="621" operator="containsText" text="High">
      <formula>NOT(ISERROR(SEARCH("High",O4)))</formula>
    </cfRule>
    <cfRule type="containsText" dxfId="625" priority="622" operator="containsText" text="Medium">
      <formula>NOT(ISERROR(SEARCH("Medium",O4)))</formula>
    </cfRule>
    <cfRule type="containsText" dxfId="624" priority="623" operator="containsText" text="Low">
      <formula>NOT(ISERROR(SEARCH("Low",O4)))</formula>
    </cfRule>
    <cfRule type="containsText" dxfId="623" priority="625" operator="containsText" text="N/U">
      <formula>NOT(ISERROR(SEARCH("N/U",O4)))</formula>
    </cfRule>
  </conditionalFormatting>
  <conditionalFormatting sqref="E13 G13">
    <cfRule type="containsText" dxfId="622" priority="616" operator="containsText" text="High">
      <formula>NOT(ISERROR(SEARCH("High",E13)))</formula>
    </cfRule>
    <cfRule type="containsText" dxfId="621" priority="617" operator="containsText" text="Medium">
      <formula>NOT(ISERROR(SEARCH("Medium",E13)))</formula>
    </cfRule>
    <cfRule type="containsText" dxfId="620" priority="618" operator="containsText" text="Low">
      <formula>NOT(ISERROR(SEARCH("Low",E13)))</formula>
    </cfRule>
    <cfRule type="containsText" dxfId="619" priority="620" operator="containsText" text="N/U">
      <formula>NOT(ISERROR(SEARCH("N/U",E13)))</formula>
    </cfRule>
  </conditionalFormatting>
  <conditionalFormatting sqref="N13">
    <cfRule type="containsText" dxfId="618" priority="611" operator="containsText" text="High">
      <formula>NOT(ISERROR(SEARCH("High",N13)))</formula>
    </cfRule>
    <cfRule type="containsText" dxfId="617" priority="612" operator="containsText" text="Medium">
      <formula>NOT(ISERROR(SEARCH("Medium",N13)))</formula>
    </cfRule>
    <cfRule type="containsText" dxfId="616" priority="613" operator="containsText" text="Low">
      <formula>NOT(ISERROR(SEARCH("Low",N13)))</formula>
    </cfRule>
    <cfRule type="containsText" dxfId="615" priority="615" operator="containsText" text="N/U">
      <formula>NOT(ISERROR(SEARCH("N/U",N13)))</formula>
    </cfRule>
  </conditionalFormatting>
  <conditionalFormatting sqref="O13">
    <cfRule type="containsText" dxfId="614" priority="606" operator="containsText" text="High">
      <formula>NOT(ISERROR(SEARCH("High",O13)))</formula>
    </cfRule>
    <cfRule type="containsText" dxfId="613" priority="607" operator="containsText" text="Medium">
      <formula>NOT(ISERROR(SEARCH("Medium",O13)))</formula>
    </cfRule>
    <cfRule type="containsText" dxfId="612" priority="608" operator="containsText" text="Low">
      <formula>NOT(ISERROR(SEARCH("Low",O13)))</formula>
    </cfRule>
    <cfRule type="containsText" dxfId="611" priority="610" operator="containsText" text="N/U">
      <formula>NOT(ISERROR(SEARCH("N/U",O13)))</formula>
    </cfRule>
  </conditionalFormatting>
  <conditionalFormatting sqref="C14:M14">
    <cfRule type="containsText" dxfId="610" priority="601" operator="containsText" text="High">
      <formula>NOT(ISERROR(SEARCH("High",C14)))</formula>
    </cfRule>
    <cfRule type="containsText" dxfId="609" priority="602" operator="containsText" text="Medium">
      <formula>NOT(ISERROR(SEARCH("Medium",C14)))</formula>
    </cfRule>
    <cfRule type="containsText" dxfId="608" priority="603" operator="containsText" text="Low">
      <formula>NOT(ISERROR(SEARCH("Low",C14)))</formula>
    </cfRule>
    <cfRule type="containsText" dxfId="607" priority="605" operator="containsText" text="N/U">
      <formula>NOT(ISERROR(SEARCH("N/U",C14)))</formula>
    </cfRule>
  </conditionalFormatting>
  <conditionalFormatting sqref="N14">
    <cfRule type="containsText" dxfId="606" priority="596" operator="containsText" text="High">
      <formula>NOT(ISERROR(SEARCH("High",N14)))</formula>
    </cfRule>
    <cfRule type="containsText" dxfId="605" priority="597" operator="containsText" text="Medium">
      <formula>NOT(ISERROR(SEARCH("Medium",N14)))</formula>
    </cfRule>
    <cfRule type="containsText" dxfId="604" priority="598" operator="containsText" text="Low">
      <formula>NOT(ISERROR(SEARCH("Low",N14)))</formula>
    </cfRule>
    <cfRule type="containsText" dxfId="603" priority="600" operator="containsText" text="N/U">
      <formula>NOT(ISERROR(SEARCH("N/U",N14)))</formula>
    </cfRule>
  </conditionalFormatting>
  <conditionalFormatting sqref="O14">
    <cfRule type="containsText" dxfId="602" priority="591" operator="containsText" text="High">
      <formula>NOT(ISERROR(SEARCH("High",O14)))</formula>
    </cfRule>
    <cfRule type="containsText" dxfId="601" priority="592" operator="containsText" text="Medium">
      <formula>NOT(ISERROR(SEARCH("Medium",O14)))</formula>
    </cfRule>
    <cfRule type="containsText" dxfId="600" priority="593" operator="containsText" text="Low">
      <formula>NOT(ISERROR(SEARCH("Low",O14)))</formula>
    </cfRule>
    <cfRule type="containsText" dxfId="599" priority="595" operator="containsText" text="N/U">
      <formula>NOT(ISERROR(SEARCH("N/U",O14)))</formula>
    </cfRule>
  </conditionalFormatting>
  <conditionalFormatting sqref="C15:M15">
    <cfRule type="containsText" dxfId="598" priority="586" operator="containsText" text="High">
      <formula>NOT(ISERROR(SEARCH("High",C15)))</formula>
    </cfRule>
    <cfRule type="containsText" dxfId="597" priority="587" operator="containsText" text="Medium">
      <formula>NOT(ISERROR(SEARCH("Medium",C15)))</formula>
    </cfRule>
    <cfRule type="containsText" dxfId="596" priority="588" operator="containsText" text="Low">
      <formula>NOT(ISERROR(SEARCH("Low",C15)))</formula>
    </cfRule>
    <cfRule type="containsText" dxfId="595" priority="590" operator="containsText" text="N/U">
      <formula>NOT(ISERROR(SEARCH("N/U",C15)))</formula>
    </cfRule>
  </conditionalFormatting>
  <conditionalFormatting sqref="N15">
    <cfRule type="containsText" dxfId="594" priority="581" operator="containsText" text="High">
      <formula>NOT(ISERROR(SEARCH("High",N15)))</formula>
    </cfRule>
    <cfRule type="containsText" dxfId="593" priority="582" operator="containsText" text="Medium">
      <formula>NOT(ISERROR(SEARCH("Medium",N15)))</formula>
    </cfRule>
    <cfRule type="containsText" dxfId="592" priority="583" operator="containsText" text="Low">
      <formula>NOT(ISERROR(SEARCH("Low",N15)))</formula>
    </cfRule>
    <cfRule type="containsText" dxfId="591" priority="585" operator="containsText" text="N/U">
      <formula>NOT(ISERROR(SEARCH("N/U",N15)))</formula>
    </cfRule>
  </conditionalFormatting>
  <conditionalFormatting sqref="O15">
    <cfRule type="containsText" dxfId="590" priority="576" operator="containsText" text="High">
      <formula>NOT(ISERROR(SEARCH("High",O15)))</formula>
    </cfRule>
    <cfRule type="containsText" dxfId="589" priority="577" operator="containsText" text="Medium">
      <formula>NOT(ISERROR(SEARCH("Medium",O15)))</formula>
    </cfRule>
    <cfRule type="containsText" dxfId="588" priority="578" operator="containsText" text="Low">
      <formula>NOT(ISERROR(SEARCH("Low",O15)))</formula>
    </cfRule>
    <cfRule type="containsText" dxfId="587" priority="580" operator="containsText" text="N/U">
      <formula>NOT(ISERROR(SEARCH("N/U",O15)))</formula>
    </cfRule>
  </conditionalFormatting>
  <conditionalFormatting sqref="E3 G3">
    <cfRule type="containsText" dxfId="586" priority="571" operator="containsText" text="High">
      <formula>NOT(ISERROR(SEARCH("High",E3)))</formula>
    </cfRule>
    <cfRule type="containsText" dxfId="585" priority="572" operator="containsText" text="Medium">
      <formula>NOT(ISERROR(SEARCH("Medium",E3)))</formula>
    </cfRule>
    <cfRule type="containsText" dxfId="584" priority="573" operator="containsText" text="Low">
      <formula>NOT(ISERROR(SEARCH("Low",E3)))</formula>
    </cfRule>
    <cfRule type="containsText" dxfId="583" priority="575" operator="containsText" text="N/U">
      <formula>NOT(ISERROR(SEARCH("N/U",E3)))</formula>
    </cfRule>
  </conditionalFormatting>
  <conditionalFormatting sqref="N5">
    <cfRule type="containsText" dxfId="582" priority="566" operator="containsText" text="High">
      <formula>NOT(ISERROR(SEARCH("High",N5)))</formula>
    </cfRule>
    <cfRule type="containsText" dxfId="581" priority="567" operator="containsText" text="Medium">
      <formula>NOT(ISERROR(SEARCH("Medium",N5)))</formula>
    </cfRule>
    <cfRule type="containsText" dxfId="580" priority="568" operator="containsText" text="Low">
      <formula>NOT(ISERROR(SEARCH("Low",N5)))</formula>
    </cfRule>
    <cfRule type="containsText" dxfId="579" priority="570" operator="containsText" text="N/U">
      <formula>NOT(ISERROR(SEARCH("N/U",N5)))</formula>
    </cfRule>
  </conditionalFormatting>
  <conditionalFormatting sqref="O5">
    <cfRule type="containsText" dxfId="578" priority="561" operator="containsText" text="High">
      <formula>NOT(ISERROR(SEARCH("High",O5)))</formula>
    </cfRule>
    <cfRule type="containsText" dxfId="577" priority="562" operator="containsText" text="Medium">
      <formula>NOT(ISERROR(SEARCH("Medium",O5)))</formula>
    </cfRule>
    <cfRule type="containsText" dxfId="576" priority="563" operator="containsText" text="Low">
      <formula>NOT(ISERROR(SEARCH("Low",O5)))</formula>
    </cfRule>
    <cfRule type="containsText" dxfId="575" priority="565" operator="containsText" text="N/U">
      <formula>NOT(ISERROR(SEARCH("N/U",O5)))</formula>
    </cfRule>
  </conditionalFormatting>
  <conditionalFormatting sqref="E6 G6">
    <cfRule type="containsText" dxfId="574" priority="556" operator="containsText" text="High">
      <formula>NOT(ISERROR(SEARCH("High",E6)))</formula>
    </cfRule>
    <cfRule type="containsText" dxfId="573" priority="557" operator="containsText" text="Medium">
      <formula>NOT(ISERROR(SEARCH("Medium",E6)))</formula>
    </cfRule>
    <cfRule type="containsText" dxfId="572" priority="558" operator="containsText" text="Low">
      <formula>NOT(ISERROR(SEARCH("Low",E6)))</formula>
    </cfRule>
    <cfRule type="containsText" dxfId="571" priority="560" operator="containsText" text="N/U">
      <formula>NOT(ISERROR(SEARCH("N/U",E6)))</formula>
    </cfRule>
  </conditionalFormatting>
  <conditionalFormatting sqref="N6">
    <cfRule type="containsText" dxfId="570" priority="551" operator="containsText" text="High">
      <formula>NOT(ISERROR(SEARCH("High",N6)))</formula>
    </cfRule>
    <cfRule type="containsText" dxfId="569" priority="552" operator="containsText" text="Medium">
      <formula>NOT(ISERROR(SEARCH("Medium",N6)))</formula>
    </cfRule>
    <cfRule type="containsText" dxfId="568" priority="553" operator="containsText" text="Low">
      <formula>NOT(ISERROR(SEARCH("Low",N6)))</formula>
    </cfRule>
    <cfRule type="containsText" dxfId="567" priority="555" operator="containsText" text="N/U">
      <formula>NOT(ISERROR(SEARCH("N/U",N6)))</formula>
    </cfRule>
  </conditionalFormatting>
  <conditionalFormatting sqref="O6">
    <cfRule type="containsText" dxfId="566" priority="546" operator="containsText" text="High">
      <formula>NOT(ISERROR(SEARCH("High",O6)))</formula>
    </cfRule>
    <cfRule type="containsText" dxfId="565" priority="547" operator="containsText" text="Medium">
      <formula>NOT(ISERROR(SEARCH("Medium",O6)))</formula>
    </cfRule>
    <cfRule type="containsText" dxfId="564" priority="548" operator="containsText" text="Low">
      <formula>NOT(ISERROR(SEARCH("Low",O6)))</formula>
    </cfRule>
    <cfRule type="containsText" dxfId="563" priority="550" operator="containsText" text="N/U">
      <formula>NOT(ISERROR(SEARCH("N/U",O6)))</formula>
    </cfRule>
  </conditionalFormatting>
  <conditionalFormatting sqref="N7">
    <cfRule type="containsText" dxfId="562" priority="541" operator="containsText" text="High">
      <formula>NOT(ISERROR(SEARCH("High",N7)))</formula>
    </cfRule>
    <cfRule type="containsText" dxfId="561" priority="542" operator="containsText" text="Medium">
      <formula>NOT(ISERROR(SEARCH("Medium",N7)))</formula>
    </cfRule>
    <cfRule type="containsText" dxfId="560" priority="543" operator="containsText" text="Low">
      <formula>NOT(ISERROR(SEARCH("Low",N7)))</formula>
    </cfRule>
    <cfRule type="containsText" dxfId="559" priority="545" operator="containsText" text="N/U">
      <formula>NOT(ISERROR(SEARCH("N/U",N7)))</formula>
    </cfRule>
  </conditionalFormatting>
  <conditionalFormatting sqref="O7">
    <cfRule type="containsText" dxfId="558" priority="536" operator="containsText" text="High">
      <formula>NOT(ISERROR(SEARCH("High",O7)))</formula>
    </cfRule>
    <cfRule type="containsText" dxfId="557" priority="537" operator="containsText" text="Medium">
      <formula>NOT(ISERROR(SEARCH("Medium",O7)))</formula>
    </cfRule>
    <cfRule type="containsText" dxfId="556" priority="538" operator="containsText" text="Low">
      <formula>NOT(ISERROR(SEARCH("Low",O7)))</formula>
    </cfRule>
    <cfRule type="containsText" dxfId="555" priority="540" operator="containsText" text="N/U">
      <formula>NOT(ISERROR(SEARCH("N/U",O7)))</formula>
    </cfRule>
  </conditionalFormatting>
  <conditionalFormatting sqref="E8 G8">
    <cfRule type="containsText" dxfId="554" priority="531" operator="containsText" text="High">
      <formula>NOT(ISERROR(SEARCH("High",E8)))</formula>
    </cfRule>
    <cfRule type="containsText" dxfId="553" priority="532" operator="containsText" text="Medium">
      <formula>NOT(ISERROR(SEARCH("Medium",E8)))</formula>
    </cfRule>
    <cfRule type="containsText" dxfId="552" priority="533" operator="containsText" text="Low">
      <formula>NOT(ISERROR(SEARCH("Low",E8)))</formula>
    </cfRule>
    <cfRule type="containsText" dxfId="551" priority="535" operator="containsText" text="N/U">
      <formula>NOT(ISERROR(SEARCH("N/U",E8)))</formula>
    </cfRule>
  </conditionalFormatting>
  <conditionalFormatting sqref="N8">
    <cfRule type="containsText" dxfId="550" priority="526" operator="containsText" text="High">
      <formula>NOT(ISERROR(SEARCH("High",N8)))</formula>
    </cfRule>
    <cfRule type="containsText" dxfId="549" priority="527" operator="containsText" text="Medium">
      <formula>NOT(ISERROR(SEARCH("Medium",N8)))</formula>
    </cfRule>
    <cfRule type="containsText" dxfId="548" priority="528" operator="containsText" text="Low">
      <formula>NOT(ISERROR(SEARCH("Low",N8)))</formula>
    </cfRule>
    <cfRule type="containsText" dxfId="547" priority="530" operator="containsText" text="N/U">
      <formula>NOT(ISERROR(SEARCH("N/U",N8)))</formula>
    </cfRule>
  </conditionalFormatting>
  <conditionalFormatting sqref="O8">
    <cfRule type="containsText" dxfId="546" priority="521" operator="containsText" text="High">
      <formula>NOT(ISERROR(SEARCH("High",O8)))</formula>
    </cfRule>
    <cfRule type="containsText" dxfId="545" priority="522" operator="containsText" text="Medium">
      <formula>NOT(ISERROR(SEARCH("Medium",O8)))</formula>
    </cfRule>
    <cfRule type="containsText" dxfId="544" priority="523" operator="containsText" text="Low">
      <formula>NOT(ISERROR(SEARCH("Low",O8)))</formula>
    </cfRule>
    <cfRule type="containsText" dxfId="543" priority="525" operator="containsText" text="N/U">
      <formula>NOT(ISERROR(SEARCH("N/U",O8)))</formula>
    </cfRule>
  </conditionalFormatting>
  <conditionalFormatting sqref="N9">
    <cfRule type="containsText" dxfId="542" priority="516" operator="containsText" text="High">
      <formula>NOT(ISERROR(SEARCH("High",N9)))</formula>
    </cfRule>
    <cfRule type="containsText" dxfId="541" priority="517" operator="containsText" text="Medium">
      <formula>NOT(ISERROR(SEARCH("Medium",N9)))</formula>
    </cfRule>
    <cfRule type="containsText" dxfId="540" priority="518" operator="containsText" text="Low">
      <formula>NOT(ISERROR(SEARCH("Low",N9)))</formula>
    </cfRule>
    <cfRule type="containsText" dxfId="539" priority="520" operator="containsText" text="N/U">
      <formula>NOT(ISERROR(SEARCH("N/U",N9)))</formula>
    </cfRule>
  </conditionalFormatting>
  <conditionalFormatting sqref="O9">
    <cfRule type="containsText" dxfId="538" priority="511" operator="containsText" text="High">
      <formula>NOT(ISERROR(SEARCH("High",O9)))</formula>
    </cfRule>
    <cfRule type="containsText" dxfId="537" priority="512" operator="containsText" text="Medium">
      <formula>NOT(ISERROR(SEARCH("Medium",O9)))</formula>
    </cfRule>
    <cfRule type="containsText" dxfId="536" priority="513" operator="containsText" text="Low">
      <formula>NOT(ISERROR(SEARCH("Low",O9)))</formula>
    </cfRule>
    <cfRule type="containsText" dxfId="535" priority="515" operator="containsText" text="N/U">
      <formula>NOT(ISERROR(SEARCH("N/U",O9)))</formula>
    </cfRule>
  </conditionalFormatting>
  <conditionalFormatting sqref="E10 G10">
    <cfRule type="containsText" dxfId="534" priority="506" operator="containsText" text="High">
      <formula>NOT(ISERROR(SEARCH("High",E10)))</formula>
    </cfRule>
    <cfRule type="containsText" dxfId="533" priority="507" operator="containsText" text="Medium">
      <formula>NOT(ISERROR(SEARCH("Medium",E10)))</formula>
    </cfRule>
    <cfRule type="containsText" dxfId="532" priority="508" operator="containsText" text="Low">
      <formula>NOT(ISERROR(SEARCH("Low",E10)))</formula>
    </cfRule>
    <cfRule type="containsText" dxfId="531" priority="510" operator="containsText" text="N/U">
      <formula>NOT(ISERROR(SEARCH("N/U",E10)))</formula>
    </cfRule>
  </conditionalFormatting>
  <conditionalFormatting sqref="N10">
    <cfRule type="containsText" dxfId="530" priority="501" operator="containsText" text="High">
      <formula>NOT(ISERROR(SEARCH("High",N10)))</formula>
    </cfRule>
    <cfRule type="containsText" dxfId="529" priority="502" operator="containsText" text="Medium">
      <formula>NOT(ISERROR(SEARCH("Medium",N10)))</formula>
    </cfRule>
    <cfRule type="containsText" dxfId="528" priority="503" operator="containsText" text="Low">
      <formula>NOT(ISERROR(SEARCH("Low",N10)))</formula>
    </cfRule>
    <cfRule type="containsText" dxfId="527" priority="505" operator="containsText" text="N/U">
      <formula>NOT(ISERROR(SEARCH("N/U",N10)))</formula>
    </cfRule>
  </conditionalFormatting>
  <conditionalFormatting sqref="O10">
    <cfRule type="containsText" dxfId="526" priority="496" operator="containsText" text="High">
      <formula>NOT(ISERROR(SEARCH("High",O10)))</formula>
    </cfRule>
    <cfRule type="containsText" dxfId="525" priority="497" operator="containsText" text="Medium">
      <formula>NOT(ISERROR(SEARCH("Medium",O10)))</formula>
    </cfRule>
    <cfRule type="containsText" dxfId="524" priority="498" operator="containsText" text="Low">
      <formula>NOT(ISERROR(SEARCH("Low",O10)))</formula>
    </cfRule>
    <cfRule type="containsText" dxfId="523" priority="500" operator="containsText" text="N/U">
      <formula>NOT(ISERROR(SEARCH("N/U",O10)))</formula>
    </cfRule>
  </conditionalFormatting>
  <conditionalFormatting sqref="N11">
    <cfRule type="containsText" dxfId="522" priority="491" operator="containsText" text="High">
      <formula>NOT(ISERROR(SEARCH("High",N11)))</formula>
    </cfRule>
    <cfRule type="containsText" dxfId="521" priority="492" operator="containsText" text="Medium">
      <formula>NOT(ISERROR(SEARCH("Medium",N11)))</formula>
    </cfRule>
    <cfRule type="containsText" dxfId="520" priority="493" operator="containsText" text="Low">
      <formula>NOT(ISERROR(SEARCH("Low",N11)))</formula>
    </cfRule>
    <cfRule type="containsText" dxfId="519" priority="495" operator="containsText" text="N/U">
      <formula>NOT(ISERROR(SEARCH("N/U",N11)))</formula>
    </cfRule>
  </conditionalFormatting>
  <conditionalFormatting sqref="O11">
    <cfRule type="containsText" dxfId="518" priority="486" operator="containsText" text="High">
      <formula>NOT(ISERROR(SEARCH("High",O11)))</formula>
    </cfRule>
    <cfRule type="containsText" dxfId="517" priority="487" operator="containsText" text="Medium">
      <formula>NOT(ISERROR(SEARCH("Medium",O11)))</formula>
    </cfRule>
    <cfRule type="containsText" dxfId="516" priority="488" operator="containsText" text="Low">
      <formula>NOT(ISERROR(SEARCH("Low",O11)))</formula>
    </cfRule>
    <cfRule type="containsText" dxfId="515" priority="490" operator="containsText" text="N/U">
      <formula>NOT(ISERROR(SEARCH("N/U",O11)))</formula>
    </cfRule>
  </conditionalFormatting>
  <conditionalFormatting sqref="E12 G12">
    <cfRule type="containsText" dxfId="514" priority="481" operator="containsText" text="High">
      <formula>NOT(ISERROR(SEARCH("High",E12)))</formula>
    </cfRule>
    <cfRule type="containsText" dxfId="513" priority="482" operator="containsText" text="Medium">
      <formula>NOT(ISERROR(SEARCH("Medium",E12)))</formula>
    </cfRule>
    <cfRule type="containsText" dxfId="512" priority="483" operator="containsText" text="Low">
      <formula>NOT(ISERROR(SEARCH("Low",E12)))</formula>
    </cfRule>
    <cfRule type="containsText" dxfId="511" priority="485" operator="containsText" text="N/U">
      <formula>NOT(ISERROR(SEARCH("N/U",E12)))</formula>
    </cfRule>
  </conditionalFormatting>
  <conditionalFormatting sqref="N12">
    <cfRule type="containsText" dxfId="510" priority="476" operator="containsText" text="High">
      <formula>NOT(ISERROR(SEARCH("High",N12)))</formula>
    </cfRule>
    <cfRule type="containsText" dxfId="509" priority="477" operator="containsText" text="Medium">
      <formula>NOT(ISERROR(SEARCH("Medium",N12)))</formula>
    </cfRule>
    <cfRule type="containsText" dxfId="508" priority="478" operator="containsText" text="Low">
      <formula>NOT(ISERROR(SEARCH("Low",N12)))</formula>
    </cfRule>
    <cfRule type="containsText" dxfId="507" priority="480" operator="containsText" text="N/U">
      <formula>NOT(ISERROR(SEARCH("N/U",N12)))</formula>
    </cfRule>
  </conditionalFormatting>
  <conditionalFormatting sqref="O12">
    <cfRule type="containsText" dxfId="506" priority="471" operator="containsText" text="High">
      <formula>NOT(ISERROR(SEARCH("High",O12)))</formula>
    </cfRule>
    <cfRule type="containsText" dxfId="505" priority="472" operator="containsText" text="Medium">
      <formula>NOT(ISERROR(SEARCH("Medium",O12)))</formula>
    </cfRule>
    <cfRule type="containsText" dxfId="504" priority="473" operator="containsText" text="Low">
      <formula>NOT(ISERROR(SEARCH("Low",O12)))</formula>
    </cfRule>
    <cfRule type="containsText" dxfId="503" priority="475" operator="containsText" text="N/U">
      <formula>NOT(ISERROR(SEARCH("N/U",O12)))</formula>
    </cfRule>
  </conditionalFormatting>
  <conditionalFormatting sqref="N3">
    <cfRule type="containsText" dxfId="502" priority="466" operator="containsText" text="High">
      <formula>NOT(ISERROR(SEARCH("High",N3)))</formula>
    </cfRule>
    <cfRule type="containsText" dxfId="501" priority="467" operator="containsText" text="Medium">
      <formula>NOT(ISERROR(SEARCH("Medium",N3)))</formula>
    </cfRule>
    <cfRule type="containsText" dxfId="500" priority="468" operator="containsText" text="Low">
      <formula>NOT(ISERROR(SEARCH("Low",N3)))</formula>
    </cfRule>
    <cfRule type="containsText" dxfId="499" priority="470" operator="containsText" text="N/U">
      <formula>NOT(ISERROR(SEARCH("N/U",N3)))</formula>
    </cfRule>
  </conditionalFormatting>
  <conditionalFormatting sqref="O3">
    <cfRule type="containsText" dxfId="498" priority="461" operator="containsText" text="High">
      <formula>NOT(ISERROR(SEARCH("High",O3)))</formula>
    </cfRule>
    <cfRule type="containsText" dxfId="497" priority="462" operator="containsText" text="Medium">
      <formula>NOT(ISERROR(SEARCH("Medium",O3)))</formula>
    </cfRule>
    <cfRule type="containsText" dxfId="496" priority="463" operator="containsText" text="Low">
      <formula>NOT(ISERROR(SEARCH("Low",O3)))</formula>
    </cfRule>
    <cfRule type="containsText" dxfId="495" priority="465" operator="containsText" text="N/U">
      <formula>NOT(ISERROR(SEARCH("N/U",O3)))</formula>
    </cfRule>
  </conditionalFormatting>
  <conditionalFormatting sqref="I4 K4:M4">
    <cfRule type="containsText" dxfId="494" priority="456" operator="containsText" text="High">
      <formula>NOT(ISERROR(SEARCH("High",I4)))</formula>
    </cfRule>
    <cfRule type="containsText" dxfId="493" priority="457" operator="containsText" text="Medium">
      <formula>NOT(ISERROR(SEARCH("Medium",I4)))</formula>
    </cfRule>
    <cfRule type="containsText" dxfId="492" priority="458" operator="containsText" text="Low">
      <formula>NOT(ISERROR(SEARCH("Low",I4)))</formula>
    </cfRule>
    <cfRule type="containsText" dxfId="491" priority="460" operator="containsText" text="N/U">
      <formula>NOT(ISERROR(SEARCH("N/U",I4)))</formula>
    </cfRule>
  </conditionalFormatting>
  <conditionalFormatting sqref="I13 K13 M13">
    <cfRule type="containsText" dxfId="490" priority="451" operator="containsText" text="High">
      <formula>NOT(ISERROR(SEARCH("High",I13)))</formula>
    </cfRule>
    <cfRule type="containsText" dxfId="489" priority="452" operator="containsText" text="Medium">
      <formula>NOT(ISERROR(SEARCH("Medium",I13)))</formula>
    </cfRule>
    <cfRule type="containsText" dxfId="488" priority="453" operator="containsText" text="Low">
      <formula>NOT(ISERROR(SEARCH("Low",I13)))</formula>
    </cfRule>
    <cfRule type="containsText" dxfId="487" priority="455" operator="containsText" text="N/U">
      <formula>NOT(ISERROR(SEARCH("N/U",I13)))</formula>
    </cfRule>
  </conditionalFormatting>
  <conditionalFormatting sqref="L5:M5">
    <cfRule type="containsText" dxfId="486" priority="446" operator="containsText" text="High">
      <formula>NOT(ISERROR(SEARCH("High",L5)))</formula>
    </cfRule>
    <cfRule type="containsText" dxfId="485" priority="447" operator="containsText" text="Medium">
      <formula>NOT(ISERROR(SEARCH("Medium",L5)))</formula>
    </cfRule>
    <cfRule type="containsText" dxfId="484" priority="448" operator="containsText" text="Low">
      <formula>NOT(ISERROR(SEARCH("Low",L5)))</formula>
    </cfRule>
    <cfRule type="containsText" dxfId="483" priority="450" operator="containsText" text="N/U">
      <formula>NOT(ISERROR(SEARCH("N/U",L5)))</formula>
    </cfRule>
  </conditionalFormatting>
  <conditionalFormatting sqref="I6 K6:M6">
    <cfRule type="containsText" dxfId="482" priority="441" operator="containsText" text="High">
      <formula>NOT(ISERROR(SEARCH("High",I6)))</formula>
    </cfRule>
    <cfRule type="containsText" dxfId="481" priority="442" operator="containsText" text="Medium">
      <formula>NOT(ISERROR(SEARCH("Medium",I6)))</formula>
    </cfRule>
    <cfRule type="containsText" dxfId="480" priority="443" operator="containsText" text="Low">
      <formula>NOT(ISERROR(SEARCH("Low",I6)))</formula>
    </cfRule>
    <cfRule type="containsText" dxfId="479" priority="445" operator="containsText" text="N/U">
      <formula>NOT(ISERROR(SEARCH("N/U",I6)))</formula>
    </cfRule>
  </conditionalFormatting>
  <conditionalFormatting sqref="I8 K8:M8">
    <cfRule type="containsText" dxfId="478" priority="436" operator="containsText" text="High">
      <formula>NOT(ISERROR(SEARCH("High",I8)))</formula>
    </cfRule>
    <cfRule type="containsText" dxfId="477" priority="437" operator="containsText" text="Medium">
      <formula>NOT(ISERROR(SEARCH("Medium",I8)))</formula>
    </cfRule>
    <cfRule type="containsText" dxfId="476" priority="438" operator="containsText" text="Low">
      <formula>NOT(ISERROR(SEARCH("Low",I8)))</formula>
    </cfRule>
    <cfRule type="containsText" dxfId="475" priority="440" operator="containsText" text="N/U">
      <formula>NOT(ISERROR(SEARCH("N/U",I8)))</formula>
    </cfRule>
  </conditionalFormatting>
  <conditionalFormatting sqref="I10 K10 M10">
    <cfRule type="containsText" dxfId="474" priority="431" operator="containsText" text="High">
      <formula>NOT(ISERROR(SEARCH("High",I10)))</formula>
    </cfRule>
    <cfRule type="containsText" dxfId="473" priority="432" operator="containsText" text="Medium">
      <formula>NOT(ISERROR(SEARCH("Medium",I10)))</formula>
    </cfRule>
    <cfRule type="containsText" dxfId="472" priority="433" operator="containsText" text="Low">
      <formula>NOT(ISERROR(SEARCH("Low",I10)))</formula>
    </cfRule>
    <cfRule type="containsText" dxfId="471" priority="435" operator="containsText" text="N/U">
      <formula>NOT(ISERROR(SEARCH("N/U",I10)))</formula>
    </cfRule>
  </conditionalFormatting>
  <conditionalFormatting sqref="M12">
    <cfRule type="containsText" dxfId="470" priority="426" operator="containsText" text="High">
      <formula>NOT(ISERROR(SEARCH("High",M12)))</formula>
    </cfRule>
    <cfRule type="containsText" dxfId="469" priority="427" operator="containsText" text="Medium">
      <formula>NOT(ISERROR(SEARCH("Medium",M12)))</formula>
    </cfRule>
    <cfRule type="containsText" dxfId="468" priority="428" operator="containsText" text="Low">
      <formula>NOT(ISERROR(SEARCH("Low",M12)))</formula>
    </cfRule>
    <cfRule type="containsText" dxfId="467" priority="430" operator="containsText" text="N/U">
      <formula>NOT(ISERROR(SEARCH("N/U",M12)))</formula>
    </cfRule>
  </conditionalFormatting>
  <conditionalFormatting sqref="I3">
    <cfRule type="containsText" dxfId="466" priority="421" operator="containsText" text="High">
      <formula>NOT(ISERROR(SEARCH("High",I3)))</formula>
    </cfRule>
    <cfRule type="containsText" dxfId="465" priority="422" operator="containsText" text="Medium">
      <formula>NOT(ISERROR(SEARCH("Medium",I3)))</formula>
    </cfRule>
    <cfRule type="containsText" dxfId="464" priority="423" operator="containsText" text="Low">
      <formula>NOT(ISERROR(SEARCH("Low",I3)))</formula>
    </cfRule>
    <cfRule type="containsText" dxfId="463" priority="425" operator="containsText" text="N/U">
      <formula>NOT(ISERROR(SEARCH("N/U",I3)))</formula>
    </cfRule>
  </conditionalFormatting>
  <conditionalFormatting sqref="K3">
    <cfRule type="containsText" dxfId="462" priority="416" operator="containsText" text="High">
      <formula>NOT(ISERROR(SEARCH("High",K3)))</formula>
    </cfRule>
    <cfRule type="containsText" dxfId="461" priority="417" operator="containsText" text="Medium">
      <formula>NOT(ISERROR(SEARCH("Medium",K3)))</formula>
    </cfRule>
    <cfRule type="containsText" dxfId="460" priority="418" operator="containsText" text="Low">
      <formula>NOT(ISERROR(SEARCH("Low",K3)))</formula>
    </cfRule>
    <cfRule type="containsText" dxfId="459" priority="420" operator="containsText" text="N/U">
      <formula>NOT(ISERROR(SEARCH("N/U",K3)))</formula>
    </cfRule>
  </conditionalFormatting>
  <conditionalFormatting sqref="L3">
    <cfRule type="containsText" dxfId="458" priority="411" operator="containsText" text="High">
      <formula>NOT(ISERROR(SEARCH("High",L3)))</formula>
    </cfRule>
    <cfRule type="containsText" dxfId="457" priority="412" operator="containsText" text="Medium">
      <formula>NOT(ISERROR(SEARCH("Medium",L3)))</formula>
    </cfRule>
    <cfRule type="containsText" dxfId="456" priority="413" operator="containsText" text="Low">
      <formula>NOT(ISERROR(SEARCH("Low",L3)))</formula>
    </cfRule>
    <cfRule type="containsText" dxfId="455" priority="415" operator="containsText" text="N/U">
      <formula>NOT(ISERROR(SEARCH("N/U",L3)))</formula>
    </cfRule>
  </conditionalFormatting>
  <conditionalFormatting sqref="M3">
    <cfRule type="containsText" dxfId="454" priority="406" operator="containsText" text="High">
      <formula>NOT(ISERROR(SEARCH("High",M3)))</formula>
    </cfRule>
    <cfRule type="containsText" dxfId="453" priority="407" operator="containsText" text="Medium">
      <formula>NOT(ISERROR(SEARCH("Medium",M3)))</formula>
    </cfRule>
    <cfRule type="containsText" dxfId="452" priority="408" operator="containsText" text="Low">
      <formula>NOT(ISERROR(SEARCH("Low",M3)))</formula>
    </cfRule>
    <cfRule type="containsText" dxfId="451" priority="410" operator="containsText" text="N/U">
      <formula>NOT(ISERROR(SEARCH("N/U",M3)))</formula>
    </cfRule>
  </conditionalFormatting>
  <conditionalFormatting sqref="I12 K12">
    <cfRule type="containsText" dxfId="450" priority="401" operator="containsText" text="High">
      <formula>NOT(ISERROR(SEARCH("High",I12)))</formula>
    </cfRule>
    <cfRule type="containsText" dxfId="449" priority="402" operator="containsText" text="Medium">
      <formula>NOT(ISERROR(SEARCH("Medium",I12)))</formula>
    </cfRule>
    <cfRule type="containsText" dxfId="448" priority="403" operator="containsText" text="Low">
      <formula>NOT(ISERROR(SEARCH("Low",I12)))</formula>
    </cfRule>
    <cfRule type="containsText" dxfId="447" priority="405" operator="containsText" text="N/U">
      <formula>NOT(ISERROR(SEARCH("N/U",I12)))</formula>
    </cfRule>
  </conditionalFormatting>
  <conditionalFormatting sqref="C3">
    <cfRule type="containsText" dxfId="446" priority="396" operator="containsText" text="High">
      <formula>NOT(ISERROR(SEARCH("High",C3)))</formula>
    </cfRule>
    <cfRule type="containsText" dxfId="445" priority="397" operator="containsText" text="Medium">
      <formula>NOT(ISERROR(SEARCH("Medium",C3)))</formula>
    </cfRule>
    <cfRule type="containsText" dxfId="444" priority="398" operator="containsText" text="Low">
      <formula>NOT(ISERROR(SEARCH("Low",C3)))</formula>
    </cfRule>
    <cfRule type="containsText" dxfId="443" priority="400" operator="containsText" text="N/U">
      <formula>NOT(ISERROR(SEARCH("N/U",C3)))</formula>
    </cfRule>
  </conditionalFormatting>
  <conditionalFormatting sqref="D3">
    <cfRule type="containsText" dxfId="442" priority="391" operator="containsText" text="High">
      <formula>NOT(ISERROR(SEARCH("High",D3)))</formula>
    </cfRule>
    <cfRule type="containsText" dxfId="441" priority="392" operator="containsText" text="Medium">
      <formula>NOT(ISERROR(SEARCH("Medium",D3)))</formula>
    </cfRule>
    <cfRule type="containsText" dxfId="440" priority="393" operator="containsText" text="Low">
      <formula>NOT(ISERROR(SEARCH("Low",D3)))</formula>
    </cfRule>
    <cfRule type="containsText" dxfId="439" priority="395" operator="containsText" text="N/U">
      <formula>NOT(ISERROR(SEARCH("N/U",D3)))</formula>
    </cfRule>
  </conditionalFormatting>
  <conditionalFormatting sqref="F3">
    <cfRule type="containsText" dxfId="438" priority="386" operator="containsText" text="High">
      <formula>NOT(ISERROR(SEARCH("High",F3)))</formula>
    </cfRule>
    <cfRule type="containsText" dxfId="437" priority="387" operator="containsText" text="Medium">
      <formula>NOT(ISERROR(SEARCH("Medium",F3)))</formula>
    </cfRule>
    <cfRule type="containsText" dxfId="436" priority="388" operator="containsText" text="Low">
      <formula>NOT(ISERROR(SEARCH("Low",F3)))</formula>
    </cfRule>
    <cfRule type="containsText" dxfId="435" priority="390" operator="containsText" text="N/U">
      <formula>NOT(ISERROR(SEARCH("N/U",F3)))</formula>
    </cfRule>
  </conditionalFormatting>
  <conditionalFormatting sqref="H3">
    <cfRule type="containsText" dxfId="434" priority="381" operator="containsText" text="High">
      <formula>NOT(ISERROR(SEARCH("High",H3)))</formula>
    </cfRule>
    <cfRule type="containsText" dxfId="433" priority="382" operator="containsText" text="Medium">
      <formula>NOT(ISERROR(SEARCH("Medium",H3)))</formula>
    </cfRule>
    <cfRule type="containsText" dxfId="432" priority="383" operator="containsText" text="Low">
      <formula>NOT(ISERROR(SEARCH("Low",H3)))</formula>
    </cfRule>
    <cfRule type="containsText" dxfId="431" priority="385" operator="containsText" text="N/U">
      <formula>NOT(ISERROR(SEARCH("N/U",H3)))</formula>
    </cfRule>
  </conditionalFormatting>
  <conditionalFormatting sqref="J3">
    <cfRule type="containsText" dxfId="430" priority="376" operator="containsText" text="High">
      <formula>NOT(ISERROR(SEARCH("High",J3)))</formula>
    </cfRule>
    <cfRule type="containsText" dxfId="429" priority="377" operator="containsText" text="Medium">
      <formula>NOT(ISERROR(SEARCH("Medium",J3)))</formula>
    </cfRule>
    <cfRule type="containsText" dxfId="428" priority="378" operator="containsText" text="Low">
      <formula>NOT(ISERROR(SEARCH("Low",J3)))</formula>
    </cfRule>
    <cfRule type="containsText" dxfId="427" priority="380" operator="containsText" text="N/U">
      <formula>NOT(ISERROR(SEARCH("N/U",J3)))</formula>
    </cfRule>
  </conditionalFormatting>
  <conditionalFormatting sqref="J4">
    <cfRule type="containsText" dxfId="426" priority="371" operator="containsText" text="High">
      <formula>NOT(ISERROR(SEARCH("High",J4)))</formula>
    </cfRule>
    <cfRule type="containsText" dxfId="425" priority="372" operator="containsText" text="Medium">
      <formula>NOT(ISERROR(SEARCH("Medium",J4)))</formula>
    </cfRule>
    <cfRule type="containsText" dxfId="424" priority="373" operator="containsText" text="Low">
      <formula>NOT(ISERROR(SEARCH("Low",J4)))</formula>
    </cfRule>
    <cfRule type="containsText" dxfId="423" priority="375" operator="containsText" text="N/U">
      <formula>NOT(ISERROR(SEARCH("N/U",J4)))</formula>
    </cfRule>
  </conditionalFormatting>
  <conditionalFormatting sqref="H4">
    <cfRule type="containsText" dxfId="422" priority="366" operator="containsText" text="High">
      <formula>NOT(ISERROR(SEARCH("High",H4)))</formula>
    </cfRule>
    <cfRule type="containsText" dxfId="421" priority="367" operator="containsText" text="Medium">
      <formula>NOT(ISERROR(SEARCH("Medium",H4)))</formula>
    </cfRule>
    <cfRule type="containsText" dxfId="420" priority="368" operator="containsText" text="Low">
      <formula>NOT(ISERROR(SEARCH("Low",H4)))</formula>
    </cfRule>
    <cfRule type="containsText" dxfId="419" priority="370" operator="containsText" text="N/U">
      <formula>NOT(ISERROR(SEARCH("N/U",H4)))</formula>
    </cfRule>
  </conditionalFormatting>
  <conditionalFormatting sqref="F4">
    <cfRule type="containsText" dxfId="418" priority="361" operator="containsText" text="High">
      <formula>NOT(ISERROR(SEARCH("High",F4)))</formula>
    </cfRule>
    <cfRule type="containsText" dxfId="417" priority="362" operator="containsText" text="Medium">
      <formula>NOT(ISERROR(SEARCH("Medium",F4)))</formula>
    </cfRule>
    <cfRule type="containsText" dxfId="416" priority="363" operator="containsText" text="Low">
      <formula>NOT(ISERROR(SEARCH("Low",F4)))</formula>
    </cfRule>
    <cfRule type="containsText" dxfId="415" priority="365" operator="containsText" text="N/U">
      <formula>NOT(ISERROR(SEARCH("N/U",F4)))</formula>
    </cfRule>
  </conditionalFormatting>
  <conditionalFormatting sqref="D4">
    <cfRule type="containsText" dxfId="414" priority="356" operator="containsText" text="High">
      <formula>NOT(ISERROR(SEARCH("High",D4)))</formula>
    </cfRule>
    <cfRule type="containsText" dxfId="413" priority="357" operator="containsText" text="Medium">
      <formula>NOT(ISERROR(SEARCH("Medium",D4)))</formula>
    </cfRule>
    <cfRule type="containsText" dxfId="412" priority="358" operator="containsText" text="Low">
      <formula>NOT(ISERROR(SEARCH("Low",D4)))</formula>
    </cfRule>
    <cfRule type="containsText" dxfId="411" priority="360" operator="containsText" text="N/U">
      <formula>NOT(ISERROR(SEARCH("N/U",D4)))</formula>
    </cfRule>
  </conditionalFormatting>
  <conditionalFormatting sqref="C4">
    <cfRule type="containsText" dxfId="410" priority="351" operator="containsText" text="High">
      <formula>NOT(ISERROR(SEARCH("High",C4)))</formula>
    </cfRule>
    <cfRule type="containsText" dxfId="409" priority="352" operator="containsText" text="Medium">
      <formula>NOT(ISERROR(SEARCH("Medium",C4)))</formula>
    </cfRule>
    <cfRule type="containsText" dxfId="408" priority="353" operator="containsText" text="Low">
      <formula>NOT(ISERROR(SEARCH("Low",C4)))</formula>
    </cfRule>
    <cfRule type="containsText" dxfId="407" priority="355" operator="containsText" text="N/U">
      <formula>NOT(ISERROR(SEARCH("N/U",C4)))</formula>
    </cfRule>
  </conditionalFormatting>
  <conditionalFormatting sqref="C5">
    <cfRule type="containsText" dxfId="406" priority="346" operator="containsText" text="High">
      <formula>NOT(ISERROR(SEARCH("High",C5)))</formula>
    </cfRule>
    <cfRule type="containsText" dxfId="405" priority="347" operator="containsText" text="Medium">
      <formula>NOT(ISERROR(SEARCH("Medium",C5)))</formula>
    </cfRule>
    <cfRule type="containsText" dxfId="404" priority="348" operator="containsText" text="Low">
      <formula>NOT(ISERROR(SEARCH("Low",C5)))</formula>
    </cfRule>
    <cfRule type="containsText" dxfId="403" priority="350" operator="containsText" text="N/U">
      <formula>NOT(ISERROR(SEARCH("N/U",C5)))</formula>
    </cfRule>
  </conditionalFormatting>
  <conditionalFormatting sqref="D5">
    <cfRule type="containsText" dxfId="402" priority="341" operator="containsText" text="High">
      <formula>NOT(ISERROR(SEARCH("High",D5)))</formula>
    </cfRule>
    <cfRule type="containsText" dxfId="401" priority="342" operator="containsText" text="Medium">
      <formula>NOT(ISERROR(SEARCH("Medium",D5)))</formula>
    </cfRule>
    <cfRule type="containsText" dxfId="400" priority="343" operator="containsText" text="Low">
      <formula>NOT(ISERROR(SEARCH("Low",D5)))</formula>
    </cfRule>
    <cfRule type="containsText" dxfId="399" priority="345" operator="containsText" text="N/U">
      <formula>NOT(ISERROR(SEARCH("N/U",D5)))</formula>
    </cfRule>
  </conditionalFormatting>
  <conditionalFormatting sqref="E5">
    <cfRule type="containsText" dxfId="398" priority="336" operator="containsText" text="High">
      <formula>NOT(ISERROR(SEARCH("High",E5)))</formula>
    </cfRule>
    <cfRule type="containsText" dxfId="397" priority="337" operator="containsText" text="Medium">
      <formula>NOT(ISERROR(SEARCH("Medium",E5)))</formula>
    </cfRule>
    <cfRule type="containsText" dxfId="396" priority="338" operator="containsText" text="Low">
      <formula>NOT(ISERROR(SEARCH("Low",E5)))</formula>
    </cfRule>
    <cfRule type="containsText" dxfId="395" priority="340" operator="containsText" text="N/U">
      <formula>NOT(ISERROR(SEARCH("N/U",E5)))</formula>
    </cfRule>
  </conditionalFormatting>
  <conditionalFormatting sqref="F5">
    <cfRule type="containsText" dxfId="394" priority="331" operator="containsText" text="High">
      <formula>NOT(ISERROR(SEARCH("High",F5)))</formula>
    </cfRule>
    <cfRule type="containsText" dxfId="393" priority="332" operator="containsText" text="Medium">
      <formula>NOT(ISERROR(SEARCH("Medium",F5)))</formula>
    </cfRule>
    <cfRule type="containsText" dxfId="392" priority="333" operator="containsText" text="Low">
      <formula>NOT(ISERROR(SEARCH("Low",F5)))</formula>
    </cfRule>
    <cfRule type="containsText" dxfId="391" priority="335" operator="containsText" text="N/U">
      <formula>NOT(ISERROR(SEARCH("N/U",F5)))</formula>
    </cfRule>
  </conditionalFormatting>
  <conditionalFormatting sqref="G5">
    <cfRule type="containsText" dxfId="390" priority="326" operator="containsText" text="High">
      <formula>NOT(ISERROR(SEARCH("High",G5)))</formula>
    </cfRule>
    <cfRule type="containsText" dxfId="389" priority="327" operator="containsText" text="Medium">
      <formula>NOT(ISERROR(SEARCH("Medium",G5)))</formula>
    </cfRule>
    <cfRule type="containsText" dxfId="388" priority="328" operator="containsText" text="Low">
      <formula>NOT(ISERROR(SEARCH("Low",G5)))</formula>
    </cfRule>
    <cfRule type="containsText" dxfId="387" priority="330" operator="containsText" text="N/U">
      <formula>NOT(ISERROR(SEARCH("N/U",G5)))</formula>
    </cfRule>
  </conditionalFormatting>
  <conditionalFormatting sqref="H5">
    <cfRule type="containsText" dxfId="386" priority="321" operator="containsText" text="High">
      <formula>NOT(ISERROR(SEARCH("High",H5)))</formula>
    </cfRule>
    <cfRule type="containsText" dxfId="385" priority="322" operator="containsText" text="Medium">
      <formula>NOT(ISERROR(SEARCH("Medium",H5)))</formula>
    </cfRule>
    <cfRule type="containsText" dxfId="384" priority="323" operator="containsText" text="Low">
      <formula>NOT(ISERROR(SEARCH("Low",H5)))</formula>
    </cfRule>
    <cfRule type="containsText" dxfId="383" priority="325" operator="containsText" text="N/U">
      <formula>NOT(ISERROR(SEARCH("N/U",H5)))</formula>
    </cfRule>
  </conditionalFormatting>
  <conditionalFormatting sqref="I5">
    <cfRule type="containsText" dxfId="382" priority="316" operator="containsText" text="High">
      <formula>NOT(ISERROR(SEARCH("High",I5)))</formula>
    </cfRule>
    <cfRule type="containsText" dxfId="381" priority="317" operator="containsText" text="Medium">
      <formula>NOT(ISERROR(SEARCH("Medium",I5)))</formula>
    </cfRule>
    <cfRule type="containsText" dxfId="380" priority="318" operator="containsText" text="Low">
      <formula>NOT(ISERROR(SEARCH("Low",I5)))</formula>
    </cfRule>
    <cfRule type="containsText" dxfId="379" priority="320" operator="containsText" text="N/U">
      <formula>NOT(ISERROR(SEARCH("N/U",I5)))</formula>
    </cfRule>
  </conditionalFormatting>
  <conditionalFormatting sqref="J5">
    <cfRule type="containsText" dxfId="378" priority="311" operator="containsText" text="High">
      <formula>NOT(ISERROR(SEARCH("High",J5)))</formula>
    </cfRule>
    <cfRule type="containsText" dxfId="377" priority="312" operator="containsText" text="Medium">
      <formula>NOT(ISERROR(SEARCH("Medium",J5)))</formula>
    </cfRule>
    <cfRule type="containsText" dxfId="376" priority="313" operator="containsText" text="Low">
      <formula>NOT(ISERROR(SEARCH("Low",J5)))</formula>
    </cfRule>
    <cfRule type="containsText" dxfId="375" priority="315" operator="containsText" text="N/U">
      <formula>NOT(ISERROR(SEARCH("N/U",J5)))</formula>
    </cfRule>
  </conditionalFormatting>
  <conditionalFormatting sqref="K5">
    <cfRule type="containsText" dxfId="374" priority="306" operator="containsText" text="High">
      <formula>NOT(ISERROR(SEARCH("High",K5)))</formula>
    </cfRule>
    <cfRule type="containsText" dxfId="373" priority="307" operator="containsText" text="Medium">
      <formula>NOT(ISERROR(SEARCH("Medium",K5)))</formula>
    </cfRule>
    <cfRule type="containsText" dxfId="372" priority="308" operator="containsText" text="Low">
      <formula>NOT(ISERROR(SEARCH("Low",K5)))</formula>
    </cfRule>
    <cfRule type="containsText" dxfId="371" priority="310" operator="containsText" text="N/U">
      <formula>NOT(ISERROR(SEARCH("N/U",K5)))</formula>
    </cfRule>
  </conditionalFormatting>
  <conditionalFormatting sqref="J6">
    <cfRule type="containsText" dxfId="370" priority="301" operator="containsText" text="High">
      <formula>NOT(ISERROR(SEARCH("High",J6)))</formula>
    </cfRule>
    <cfRule type="containsText" dxfId="369" priority="302" operator="containsText" text="Medium">
      <formula>NOT(ISERROR(SEARCH("Medium",J6)))</formula>
    </cfRule>
    <cfRule type="containsText" dxfId="368" priority="303" operator="containsText" text="Low">
      <formula>NOT(ISERROR(SEARCH("Low",J6)))</formula>
    </cfRule>
    <cfRule type="containsText" dxfId="367" priority="305" operator="containsText" text="N/U">
      <formula>NOT(ISERROR(SEARCH("N/U",J6)))</formula>
    </cfRule>
  </conditionalFormatting>
  <conditionalFormatting sqref="H6">
    <cfRule type="containsText" dxfId="366" priority="296" operator="containsText" text="High">
      <formula>NOT(ISERROR(SEARCH("High",H6)))</formula>
    </cfRule>
    <cfRule type="containsText" dxfId="365" priority="297" operator="containsText" text="Medium">
      <formula>NOT(ISERROR(SEARCH("Medium",H6)))</formula>
    </cfRule>
    <cfRule type="containsText" dxfId="364" priority="298" operator="containsText" text="Low">
      <formula>NOT(ISERROR(SEARCH("Low",H6)))</formula>
    </cfRule>
    <cfRule type="containsText" dxfId="363" priority="300" operator="containsText" text="N/U">
      <formula>NOT(ISERROR(SEARCH("N/U",H6)))</formula>
    </cfRule>
  </conditionalFormatting>
  <conditionalFormatting sqref="F6">
    <cfRule type="containsText" dxfId="362" priority="291" operator="containsText" text="High">
      <formula>NOT(ISERROR(SEARCH("High",F6)))</formula>
    </cfRule>
    <cfRule type="containsText" dxfId="361" priority="292" operator="containsText" text="Medium">
      <formula>NOT(ISERROR(SEARCH("Medium",F6)))</formula>
    </cfRule>
    <cfRule type="containsText" dxfId="360" priority="293" operator="containsText" text="Low">
      <formula>NOT(ISERROR(SEARCH("Low",F6)))</formula>
    </cfRule>
    <cfRule type="containsText" dxfId="359" priority="295" operator="containsText" text="N/U">
      <formula>NOT(ISERROR(SEARCH("N/U",F6)))</formula>
    </cfRule>
  </conditionalFormatting>
  <conditionalFormatting sqref="D6">
    <cfRule type="containsText" dxfId="358" priority="286" operator="containsText" text="High">
      <formula>NOT(ISERROR(SEARCH("High",D6)))</formula>
    </cfRule>
    <cfRule type="containsText" dxfId="357" priority="287" operator="containsText" text="Medium">
      <formula>NOT(ISERROR(SEARCH("Medium",D6)))</formula>
    </cfRule>
    <cfRule type="containsText" dxfId="356" priority="288" operator="containsText" text="Low">
      <formula>NOT(ISERROR(SEARCH("Low",D6)))</formula>
    </cfRule>
    <cfRule type="containsText" dxfId="355" priority="290" operator="containsText" text="N/U">
      <formula>NOT(ISERROR(SEARCH("N/U",D6)))</formula>
    </cfRule>
  </conditionalFormatting>
  <conditionalFormatting sqref="C6">
    <cfRule type="containsText" dxfId="354" priority="281" operator="containsText" text="High">
      <formula>NOT(ISERROR(SEARCH("High",C6)))</formula>
    </cfRule>
    <cfRule type="containsText" dxfId="353" priority="282" operator="containsText" text="Medium">
      <formula>NOT(ISERROR(SEARCH("Medium",C6)))</formula>
    </cfRule>
    <cfRule type="containsText" dxfId="352" priority="283" operator="containsText" text="Low">
      <formula>NOT(ISERROR(SEARCH("Low",C6)))</formula>
    </cfRule>
    <cfRule type="containsText" dxfId="351" priority="285" operator="containsText" text="N/U">
      <formula>NOT(ISERROR(SEARCH("N/U",C6)))</formula>
    </cfRule>
  </conditionalFormatting>
  <conditionalFormatting sqref="C7">
    <cfRule type="containsText" dxfId="350" priority="276" operator="containsText" text="High">
      <formula>NOT(ISERROR(SEARCH("High",C7)))</formula>
    </cfRule>
    <cfRule type="containsText" dxfId="349" priority="277" operator="containsText" text="Medium">
      <formula>NOT(ISERROR(SEARCH("Medium",C7)))</formula>
    </cfRule>
    <cfRule type="containsText" dxfId="348" priority="278" operator="containsText" text="Low">
      <formula>NOT(ISERROR(SEARCH("Low",C7)))</formula>
    </cfRule>
    <cfRule type="containsText" dxfId="347" priority="280" operator="containsText" text="N/U">
      <formula>NOT(ISERROR(SEARCH("N/U",C7)))</formula>
    </cfRule>
  </conditionalFormatting>
  <conditionalFormatting sqref="D7">
    <cfRule type="containsText" dxfId="346" priority="271" operator="containsText" text="High">
      <formula>NOT(ISERROR(SEARCH("High",D7)))</formula>
    </cfRule>
    <cfRule type="containsText" dxfId="345" priority="272" operator="containsText" text="Medium">
      <formula>NOT(ISERROR(SEARCH("Medium",D7)))</formula>
    </cfRule>
    <cfRule type="containsText" dxfId="344" priority="273" operator="containsText" text="Low">
      <formula>NOT(ISERROR(SEARCH("Low",D7)))</formula>
    </cfRule>
    <cfRule type="containsText" dxfId="343" priority="275" operator="containsText" text="N/U">
      <formula>NOT(ISERROR(SEARCH("N/U",D7)))</formula>
    </cfRule>
  </conditionalFormatting>
  <conditionalFormatting sqref="E7">
    <cfRule type="containsText" dxfId="342" priority="266" operator="containsText" text="High">
      <formula>NOT(ISERROR(SEARCH("High",E7)))</formula>
    </cfRule>
    <cfRule type="containsText" dxfId="341" priority="267" operator="containsText" text="Medium">
      <formula>NOT(ISERROR(SEARCH("Medium",E7)))</formula>
    </cfRule>
    <cfRule type="containsText" dxfId="340" priority="268" operator="containsText" text="Low">
      <formula>NOT(ISERROR(SEARCH("Low",E7)))</formula>
    </cfRule>
    <cfRule type="containsText" dxfId="339" priority="270" operator="containsText" text="N/U">
      <formula>NOT(ISERROR(SEARCH("N/U",E7)))</formula>
    </cfRule>
  </conditionalFormatting>
  <conditionalFormatting sqref="F7">
    <cfRule type="containsText" dxfId="338" priority="261" operator="containsText" text="High">
      <formula>NOT(ISERROR(SEARCH("High",F7)))</formula>
    </cfRule>
    <cfRule type="containsText" dxfId="337" priority="262" operator="containsText" text="Medium">
      <formula>NOT(ISERROR(SEARCH("Medium",F7)))</formula>
    </cfRule>
    <cfRule type="containsText" dxfId="336" priority="263" operator="containsText" text="Low">
      <formula>NOT(ISERROR(SEARCH("Low",F7)))</formula>
    </cfRule>
    <cfRule type="containsText" dxfId="335" priority="265" operator="containsText" text="N/U">
      <formula>NOT(ISERROR(SEARCH("N/U",F7)))</formula>
    </cfRule>
  </conditionalFormatting>
  <conditionalFormatting sqref="G7">
    <cfRule type="containsText" dxfId="334" priority="256" operator="containsText" text="High">
      <formula>NOT(ISERROR(SEARCH("High",G7)))</formula>
    </cfRule>
    <cfRule type="containsText" dxfId="333" priority="257" operator="containsText" text="Medium">
      <formula>NOT(ISERROR(SEARCH("Medium",G7)))</formula>
    </cfRule>
    <cfRule type="containsText" dxfId="332" priority="258" operator="containsText" text="Low">
      <formula>NOT(ISERROR(SEARCH("Low",G7)))</formula>
    </cfRule>
    <cfRule type="containsText" dxfId="331" priority="260" operator="containsText" text="N/U">
      <formula>NOT(ISERROR(SEARCH("N/U",G7)))</formula>
    </cfRule>
  </conditionalFormatting>
  <conditionalFormatting sqref="H7">
    <cfRule type="containsText" dxfId="330" priority="251" operator="containsText" text="High">
      <formula>NOT(ISERROR(SEARCH("High",H7)))</formula>
    </cfRule>
    <cfRule type="containsText" dxfId="329" priority="252" operator="containsText" text="Medium">
      <formula>NOT(ISERROR(SEARCH("Medium",H7)))</formula>
    </cfRule>
    <cfRule type="containsText" dxfId="328" priority="253" operator="containsText" text="Low">
      <formula>NOT(ISERROR(SEARCH("Low",H7)))</formula>
    </cfRule>
    <cfRule type="containsText" dxfId="327" priority="255" operator="containsText" text="N/U">
      <formula>NOT(ISERROR(SEARCH("N/U",H7)))</formula>
    </cfRule>
  </conditionalFormatting>
  <conditionalFormatting sqref="I7">
    <cfRule type="containsText" dxfId="326" priority="246" operator="containsText" text="High">
      <formula>NOT(ISERROR(SEARCH("High",I7)))</formula>
    </cfRule>
    <cfRule type="containsText" dxfId="325" priority="247" operator="containsText" text="Medium">
      <formula>NOT(ISERROR(SEARCH("Medium",I7)))</formula>
    </cfRule>
    <cfRule type="containsText" dxfId="324" priority="248" operator="containsText" text="Low">
      <formula>NOT(ISERROR(SEARCH("Low",I7)))</formula>
    </cfRule>
    <cfRule type="containsText" dxfId="323" priority="250" operator="containsText" text="N/U">
      <formula>NOT(ISERROR(SEARCH("N/U",I7)))</formula>
    </cfRule>
  </conditionalFormatting>
  <conditionalFormatting sqref="J7">
    <cfRule type="containsText" dxfId="322" priority="241" operator="containsText" text="High">
      <formula>NOT(ISERROR(SEARCH("High",J7)))</formula>
    </cfRule>
    <cfRule type="containsText" dxfId="321" priority="242" operator="containsText" text="Medium">
      <formula>NOT(ISERROR(SEARCH("Medium",J7)))</formula>
    </cfRule>
    <cfRule type="containsText" dxfId="320" priority="243" operator="containsText" text="Low">
      <formula>NOT(ISERROR(SEARCH("Low",J7)))</formula>
    </cfRule>
    <cfRule type="containsText" dxfId="319" priority="245" operator="containsText" text="N/U">
      <formula>NOT(ISERROR(SEARCH("N/U",J7)))</formula>
    </cfRule>
  </conditionalFormatting>
  <conditionalFormatting sqref="K7">
    <cfRule type="containsText" dxfId="318" priority="236" operator="containsText" text="High">
      <formula>NOT(ISERROR(SEARCH("High",K7)))</formula>
    </cfRule>
    <cfRule type="containsText" dxfId="317" priority="237" operator="containsText" text="Medium">
      <formula>NOT(ISERROR(SEARCH("Medium",K7)))</formula>
    </cfRule>
    <cfRule type="containsText" dxfId="316" priority="238" operator="containsText" text="Low">
      <formula>NOT(ISERROR(SEARCH("Low",K7)))</formula>
    </cfRule>
    <cfRule type="containsText" dxfId="315" priority="240" operator="containsText" text="N/U">
      <formula>NOT(ISERROR(SEARCH("N/U",K7)))</formula>
    </cfRule>
  </conditionalFormatting>
  <conditionalFormatting sqref="L7">
    <cfRule type="containsText" dxfId="314" priority="231" operator="containsText" text="High">
      <formula>NOT(ISERROR(SEARCH("High",L7)))</formula>
    </cfRule>
    <cfRule type="containsText" dxfId="313" priority="232" operator="containsText" text="Medium">
      <formula>NOT(ISERROR(SEARCH("Medium",L7)))</formula>
    </cfRule>
    <cfRule type="containsText" dxfId="312" priority="233" operator="containsText" text="Low">
      <formula>NOT(ISERROR(SEARCH("Low",L7)))</formula>
    </cfRule>
    <cfRule type="containsText" dxfId="311" priority="235" operator="containsText" text="N/U">
      <formula>NOT(ISERROR(SEARCH("N/U",L7)))</formula>
    </cfRule>
  </conditionalFormatting>
  <conditionalFormatting sqref="M7">
    <cfRule type="containsText" dxfId="310" priority="226" operator="containsText" text="High">
      <formula>NOT(ISERROR(SEARCH("High",M7)))</formula>
    </cfRule>
    <cfRule type="containsText" dxfId="309" priority="227" operator="containsText" text="Medium">
      <formula>NOT(ISERROR(SEARCH("Medium",M7)))</formula>
    </cfRule>
    <cfRule type="containsText" dxfId="308" priority="228" operator="containsText" text="Low">
      <formula>NOT(ISERROR(SEARCH("Low",M7)))</formula>
    </cfRule>
    <cfRule type="containsText" dxfId="307" priority="230" operator="containsText" text="N/U">
      <formula>NOT(ISERROR(SEARCH("N/U",M7)))</formula>
    </cfRule>
  </conditionalFormatting>
  <conditionalFormatting sqref="J8">
    <cfRule type="containsText" dxfId="306" priority="221" operator="containsText" text="High">
      <formula>NOT(ISERROR(SEARCH("High",J8)))</formula>
    </cfRule>
    <cfRule type="containsText" dxfId="305" priority="222" operator="containsText" text="Medium">
      <formula>NOT(ISERROR(SEARCH("Medium",J8)))</formula>
    </cfRule>
    <cfRule type="containsText" dxfId="304" priority="223" operator="containsText" text="Low">
      <formula>NOT(ISERROR(SEARCH("Low",J8)))</formula>
    </cfRule>
    <cfRule type="containsText" dxfId="303" priority="225" operator="containsText" text="N/U">
      <formula>NOT(ISERROR(SEARCH("N/U",J8)))</formula>
    </cfRule>
  </conditionalFormatting>
  <conditionalFormatting sqref="H8">
    <cfRule type="containsText" dxfId="302" priority="216" operator="containsText" text="High">
      <formula>NOT(ISERROR(SEARCH("High",H8)))</formula>
    </cfRule>
    <cfRule type="containsText" dxfId="301" priority="217" operator="containsText" text="Medium">
      <formula>NOT(ISERROR(SEARCH("Medium",H8)))</formula>
    </cfRule>
    <cfRule type="containsText" dxfId="300" priority="218" operator="containsText" text="Low">
      <formula>NOT(ISERROR(SEARCH("Low",H8)))</formula>
    </cfRule>
    <cfRule type="containsText" dxfId="299" priority="220" operator="containsText" text="N/U">
      <formula>NOT(ISERROR(SEARCH("N/U",H8)))</formula>
    </cfRule>
  </conditionalFormatting>
  <conditionalFormatting sqref="F8">
    <cfRule type="containsText" dxfId="298" priority="211" operator="containsText" text="High">
      <formula>NOT(ISERROR(SEARCH("High",F8)))</formula>
    </cfRule>
    <cfRule type="containsText" dxfId="297" priority="212" operator="containsText" text="Medium">
      <formula>NOT(ISERROR(SEARCH("Medium",F8)))</formula>
    </cfRule>
    <cfRule type="containsText" dxfId="296" priority="213" operator="containsText" text="Low">
      <formula>NOT(ISERROR(SEARCH("Low",F8)))</formula>
    </cfRule>
    <cfRule type="containsText" dxfId="295" priority="215" operator="containsText" text="N/U">
      <formula>NOT(ISERROR(SEARCH("N/U",F8)))</formula>
    </cfRule>
  </conditionalFormatting>
  <conditionalFormatting sqref="C8">
    <cfRule type="containsText" dxfId="294" priority="206" operator="containsText" text="High">
      <formula>NOT(ISERROR(SEARCH("High",C8)))</formula>
    </cfRule>
    <cfRule type="containsText" dxfId="293" priority="207" operator="containsText" text="Medium">
      <formula>NOT(ISERROR(SEARCH("Medium",C8)))</formula>
    </cfRule>
    <cfRule type="containsText" dxfId="292" priority="208" operator="containsText" text="Low">
      <formula>NOT(ISERROR(SEARCH("Low",C8)))</formula>
    </cfRule>
    <cfRule type="containsText" dxfId="291" priority="210" operator="containsText" text="N/U">
      <formula>NOT(ISERROR(SEARCH("N/U",C8)))</formula>
    </cfRule>
  </conditionalFormatting>
  <conditionalFormatting sqref="D8">
    <cfRule type="containsText" dxfId="290" priority="201" operator="containsText" text="High">
      <formula>NOT(ISERROR(SEARCH("High",D8)))</formula>
    </cfRule>
    <cfRule type="containsText" dxfId="289" priority="202" operator="containsText" text="Medium">
      <formula>NOT(ISERROR(SEARCH("Medium",D8)))</formula>
    </cfRule>
    <cfRule type="containsText" dxfId="288" priority="203" operator="containsText" text="Low">
      <formula>NOT(ISERROR(SEARCH("Low",D8)))</formula>
    </cfRule>
    <cfRule type="containsText" dxfId="287" priority="205" operator="containsText" text="N/U">
      <formula>NOT(ISERROR(SEARCH("N/U",D8)))</formula>
    </cfRule>
  </conditionalFormatting>
  <conditionalFormatting sqref="C9">
    <cfRule type="containsText" dxfId="286" priority="196" operator="containsText" text="High">
      <formula>NOT(ISERROR(SEARCH("High",C9)))</formula>
    </cfRule>
    <cfRule type="containsText" dxfId="285" priority="197" operator="containsText" text="Medium">
      <formula>NOT(ISERROR(SEARCH("Medium",C9)))</formula>
    </cfRule>
    <cfRule type="containsText" dxfId="284" priority="198" operator="containsText" text="Low">
      <formula>NOT(ISERROR(SEARCH("Low",C9)))</formula>
    </cfRule>
    <cfRule type="containsText" dxfId="283" priority="200" operator="containsText" text="N/U">
      <formula>NOT(ISERROR(SEARCH("N/U",C9)))</formula>
    </cfRule>
  </conditionalFormatting>
  <conditionalFormatting sqref="D9">
    <cfRule type="containsText" dxfId="282" priority="191" operator="containsText" text="High">
      <formula>NOT(ISERROR(SEARCH("High",D9)))</formula>
    </cfRule>
    <cfRule type="containsText" dxfId="281" priority="192" operator="containsText" text="Medium">
      <formula>NOT(ISERROR(SEARCH("Medium",D9)))</formula>
    </cfRule>
    <cfRule type="containsText" dxfId="280" priority="193" operator="containsText" text="Low">
      <formula>NOT(ISERROR(SEARCH("Low",D9)))</formula>
    </cfRule>
    <cfRule type="containsText" dxfId="279" priority="195" operator="containsText" text="N/U">
      <formula>NOT(ISERROR(SEARCH("N/U",D9)))</formula>
    </cfRule>
  </conditionalFormatting>
  <conditionalFormatting sqref="E9">
    <cfRule type="containsText" dxfId="278" priority="186" operator="containsText" text="High">
      <formula>NOT(ISERROR(SEARCH("High",E9)))</formula>
    </cfRule>
    <cfRule type="containsText" dxfId="277" priority="187" operator="containsText" text="Medium">
      <formula>NOT(ISERROR(SEARCH("Medium",E9)))</formula>
    </cfRule>
    <cfRule type="containsText" dxfId="276" priority="188" operator="containsText" text="Low">
      <formula>NOT(ISERROR(SEARCH("Low",E9)))</formula>
    </cfRule>
    <cfRule type="containsText" dxfId="275" priority="190" operator="containsText" text="N/U">
      <formula>NOT(ISERROR(SEARCH("N/U",E9)))</formula>
    </cfRule>
  </conditionalFormatting>
  <conditionalFormatting sqref="F9">
    <cfRule type="containsText" dxfId="274" priority="181" operator="containsText" text="High">
      <formula>NOT(ISERROR(SEARCH("High",F9)))</formula>
    </cfRule>
    <cfRule type="containsText" dxfId="273" priority="182" operator="containsText" text="Medium">
      <formula>NOT(ISERROR(SEARCH("Medium",F9)))</formula>
    </cfRule>
    <cfRule type="containsText" dxfId="272" priority="183" operator="containsText" text="Low">
      <formula>NOT(ISERROR(SEARCH("Low",F9)))</formula>
    </cfRule>
    <cfRule type="containsText" dxfId="271" priority="185" operator="containsText" text="N/U">
      <formula>NOT(ISERROR(SEARCH("N/U",F9)))</formula>
    </cfRule>
  </conditionalFormatting>
  <conditionalFormatting sqref="G9">
    <cfRule type="containsText" dxfId="270" priority="176" operator="containsText" text="High">
      <formula>NOT(ISERROR(SEARCH("High",G9)))</formula>
    </cfRule>
    <cfRule type="containsText" dxfId="269" priority="177" operator="containsText" text="Medium">
      <formula>NOT(ISERROR(SEARCH("Medium",G9)))</formula>
    </cfRule>
    <cfRule type="containsText" dxfId="268" priority="178" operator="containsText" text="Low">
      <formula>NOT(ISERROR(SEARCH("Low",G9)))</formula>
    </cfRule>
    <cfRule type="containsText" dxfId="267" priority="180" operator="containsText" text="N/U">
      <formula>NOT(ISERROR(SEARCH("N/U",G9)))</formula>
    </cfRule>
  </conditionalFormatting>
  <conditionalFormatting sqref="H9">
    <cfRule type="containsText" dxfId="266" priority="171" operator="containsText" text="High">
      <formula>NOT(ISERROR(SEARCH("High",H9)))</formula>
    </cfRule>
    <cfRule type="containsText" dxfId="265" priority="172" operator="containsText" text="Medium">
      <formula>NOT(ISERROR(SEARCH("Medium",H9)))</formula>
    </cfRule>
    <cfRule type="containsText" dxfId="264" priority="173" operator="containsText" text="Low">
      <formula>NOT(ISERROR(SEARCH("Low",H9)))</formula>
    </cfRule>
    <cfRule type="containsText" dxfId="263" priority="175" operator="containsText" text="N/U">
      <formula>NOT(ISERROR(SEARCH("N/U",H9)))</formula>
    </cfRule>
  </conditionalFormatting>
  <conditionalFormatting sqref="I9">
    <cfRule type="containsText" dxfId="262" priority="166" operator="containsText" text="High">
      <formula>NOT(ISERROR(SEARCH("High",I9)))</formula>
    </cfRule>
    <cfRule type="containsText" dxfId="261" priority="167" operator="containsText" text="Medium">
      <formula>NOT(ISERROR(SEARCH("Medium",I9)))</formula>
    </cfRule>
    <cfRule type="containsText" dxfId="260" priority="168" operator="containsText" text="Low">
      <formula>NOT(ISERROR(SEARCH("Low",I9)))</formula>
    </cfRule>
    <cfRule type="containsText" dxfId="259" priority="170" operator="containsText" text="N/U">
      <formula>NOT(ISERROR(SEARCH("N/U",I9)))</formula>
    </cfRule>
  </conditionalFormatting>
  <conditionalFormatting sqref="J9">
    <cfRule type="containsText" dxfId="258" priority="161" operator="containsText" text="High">
      <formula>NOT(ISERROR(SEARCH("High",J9)))</formula>
    </cfRule>
    <cfRule type="containsText" dxfId="257" priority="162" operator="containsText" text="Medium">
      <formula>NOT(ISERROR(SEARCH("Medium",J9)))</formula>
    </cfRule>
    <cfRule type="containsText" dxfId="256" priority="163" operator="containsText" text="Low">
      <formula>NOT(ISERROR(SEARCH("Low",J9)))</formula>
    </cfRule>
    <cfRule type="containsText" dxfId="255" priority="165" operator="containsText" text="N/U">
      <formula>NOT(ISERROR(SEARCH("N/U",J9)))</formula>
    </cfRule>
  </conditionalFormatting>
  <conditionalFormatting sqref="K9">
    <cfRule type="containsText" dxfId="254" priority="156" operator="containsText" text="High">
      <formula>NOT(ISERROR(SEARCH("High",K9)))</formula>
    </cfRule>
    <cfRule type="containsText" dxfId="253" priority="157" operator="containsText" text="Medium">
      <formula>NOT(ISERROR(SEARCH("Medium",K9)))</formula>
    </cfRule>
    <cfRule type="containsText" dxfId="252" priority="158" operator="containsText" text="Low">
      <formula>NOT(ISERROR(SEARCH("Low",K9)))</formula>
    </cfRule>
    <cfRule type="containsText" dxfId="251" priority="160" operator="containsText" text="N/U">
      <formula>NOT(ISERROR(SEARCH("N/U",K9)))</formula>
    </cfRule>
  </conditionalFormatting>
  <conditionalFormatting sqref="L9">
    <cfRule type="containsText" dxfId="250" priority="151" operator="containsText" text="High">
      <formula>NOT(ISERROR(SEARCH("High",L9)))</formula>
    </cfRule>
    <cfRule type="containsText" dxfId="249" priority="152" operator="containsText" text="Medium">
      <formula>NOT(ISERROR(SEARCH("Medium",L9)))</formula>
    </cfRule>
    <cfRule type="containsText" dxfId="248" priority="153" operator="containsText" text="Low">
      <formula>NOT(ISERROR(SEARCH("Low",L9)))</formula>
    </cfRule>
    <cfRule type="containsText" dxfId="247" priority="155" operator="containsText" text="N/U">
      <formula>NOT(ISERROR(SEARCH("N/U",L9)))</formula>
    </cfRule>
  </conditionalFormatting>
  <conditionalFormatting sqref="M9">
    <cfRule type="containsText" dxfId="246" priority="146" operator="containsText" text="High">
      <formula>NOT(ISERROR(SEARCH("High",M9)))</formula>
    </cfRule>
    <cfRule type="containsText" dxfId="245" priority="147" operator="containsText" text="Medium">
      <formula>NOT(ISERROR(SEARCH("Medium",M9)))</formula>
    </cfRule>
    <cfRule type="containsText" dxfId="244" priority="148" operator="containsText" text="Low">
      <formula>NOT(ISERROR(SEARCH("Low",M9)))</formula>
    </cfRule>
    <cfRule type="containsText" dxfId="243" priority="150" operator="containsText" text="N/U">
      <formula>NOT(ISERROR(SEARCH("N/U",M9)))</formula>
    </cfRule>
  </conditionalFormatting>
  <conditionalFormatting sqref="L10">
    <cfRule type="containsText" dxfId="242" priority="141" operator="containsText" text="High">
      <formula>NOT(ISERROR(SEARCH("High",L10)))</formula>
    </cfRule>
    <cfRule type="containsText" dxfId="241" priority="142" operator="containsText" text="Medium">
      <formula>NOT(ISERROR(SEARCH("Medium",L10)))</formula>
    </cfRule>
    <cfRule type="containsText" dxfId="240" priority="143" operator="containsText" text="Low">
      <formula>NOT(ISERROR(SEARCH("Low",L10)))</formula>
    </cfRule>
    <cfRule type="containsText" dxfId="239" priority="145" operator="containsText" text="N/U">
      <formula>NOT(ISERROR(SEARCH("N/U",L10)))</formula>
    </cfRule>
  </conditionalFormatting>
  <conditionalFormatting sqref="J10">
    <cfRule type="containsText" dxfId="238" priority="136" operator="containsText" text="High">
      <formula>NOT(ISERROR(SEARCH("High",J10)))</formula>
    </cfRule>
    <cfRule type="containsText" dxfId="237" priority="137" operator="containsText" text="Medium">
      <formula>NOT(ISERROR(SEARCH("Medium",J10)))</formula>
    </cfRule>
    <cfRule type="containsText" dxfId="236" priority="138" operator="containsText" text="Low">
      <formula>NOT(ISERROR(SEARCH("Low",J10)))</formula>
    </cfRule>
    <cfRule type="containsText" dxfId="235" priority="140" operator="containsText" text="N/U">
      <formula>NOT(ISERROR(SEARCH("N/U",J10)))</formula>
    </cfRule>
  </conditionalFormatting>
  <conditionalFormatting sqref="H10">
    <cfRule type="containsText" dxfId="234" priority="131" operator="containsText" text="High">
      <formula>NOT(ISERROR(SEARCH("High",H10)))</formula>
    </cfRule>
    <cfRule type="containsText" dxfId="233" priority="132" operator="containsText" text="Medium">
      <formula>NOT(ISERROR(SEARCH("Medium",H10)))</formula>
    </cfRule>
    <cfRule type="containsText" dxfId="232" priority="133" operator="containsText" text="Low">
      <formula>NOT(ISERROR(SEARCH("Low",H10)))</formula>
    </cfRule>
    <cfRule type="containsText" dxfId="231" priority="135" operator="containsText" text="N/U">
      <formula>NOT(ISERROR(SEARCH("N/U",H10)))</formula>
    </cfRule>
  </conditionalFormatting>
  <conditionalFormatting sqref="F10">
    <cfRule type="containsText" dxfId="230" priority="126" operator="containsText" text="High">
      <formula>NOT(ISERROR(SEARCH("High",F10)))</formula>
    </cfRule>
    <cfRule type="containsText" dxfId="229" priority="127" operator="containsText" text="Medium">
      <formula>NOT(ISERROR(SEARCH("Medium",F10)))</formula>
    </cfRule>
    <cfRule type="containsText" dxfId="228" priority="128" operator="containsText" text="Low">
      <formula>NOT(ISERROR(SEARCH("Low",F10)))</formula>
    </cfRule>
    <cfRule type="containsText" dxfId="227" priority="130" operator="containsText" text="N/U">
      <formula>NOT(ISERROR(SEARCH("N/U",F10)))</formula>
    </cfRule>
  </conditionalFormatting>
  <conditionalFormatting sqref="D10">
    <cfRule type="containsText" dxfId="226" priority="121" operator="containsText" text="High">
      <formula>NOT(ISERROR(SEARCH("High",D10)))</formula>
    </cfRule>
    <cfRule type="containsText" dxfId="225" priority="122" operator="containsText" text="Medium">
      <formula>NOT(ISERROR(SEARCH("Medium",D10)))</formula>
    </cfRule>
    <cfRule type="containsText" dxfId="224" priority="123" operator="containsText" text="Low">
      <formula>NOT(ISERROR(SEARCH("Low",D10)))</formula>
    </cfRule>
    <cfRule type="containsText" dxfId="223" priority="125" operator="containsText" text="N/U">
      <formula>NOT(ISERROR(SEARCH("N/U",D10)))</formula>
    </cfRule>
  </conditionalFormatting>
  <conditionalFormatting sqref="C10">
    <cfRule type="containsText" dxfId="222" priority="116" operator="containsText" text="High">
      <formula>NOT(ISERROR(SEARCH("High",C10)))</formula>
    </cfRule>
    <cfRule type="containsText" dxfId="221" priority="117" operator="containsText" text="Medium">
      <formula>NOT(ISERROR(SEARCH("Medium",C10)))</formula>
    </cfRule>
    <cfRule type="containsText" dxfId="220" priority="118" operator="containsText" text="Low">
      <formula>NOT(ISERROR(SEARCH("Low",C10)))</formula>
    </cfRule>
    <cfRule type="containsText" dxfId="219" priority="120" operator="containsText" text="N/U">
      <formula>NOT(ISERROR(SEARCH("N/U",C10)))</formula>
    </cfRule>
  </conditionalFormatting>
  <conditionalFormatting sqref="C11">
    <cfRule type="containsText" dxfId="218" priority="111" operator="containsText" text="High">
      <formula>NOT(ISERROR(SEARCH("High",C11)))</formula>
    </cfRule>
    <cfRule type="containsText" dxfId="217" priority="112" operator="containsText" text="Medium">
      <formula>NOT(ISERROR(SEARCH("Medium",C11)))</formula>
    </cfRule>
    <cfRule type="containsText" dxfId="216" priority="113" operator="containsText" text="Low">
      <formula>NOT(ISERROR(SEARCH("Low",C11)))</formula>
    </cfRule>
    <cfRule type="containsText" dxfId="215" priority="115" operator="containsText" text="N/U">
      <formula>NOT(ISERROR(SEARCH("N/U",C11)))</formula>
    </cfRule>
  </conditionalFormatting>
  <conditionalFormatting sqref="D11">
    <cfRule type="containsText" dxfId="214" priority="106" operator="containsText" text="High">
      <formula>NOT(ISERROR(SEARCH("High",D11)))</formula>
    </cfRule>
    <cfRule type="containsText" dxfId="213" priority="107" operator="containsText" text="Medium">
      <formula>NOT(ISERROR(SEARCH("Medium",D11)))</formula>
    </cfRule>
    <cfRule type="containsText" dxfId="212" priority="108" operator="containsText" text="Low">
      <formula>NOT(ISERROR(SEARCH("Low",D11)))</formula>
    </cfRule>
    <cfRule type="containsText" dxfId="211" priority="110" operator="containsText" text="N/U">
      <formula>NOT(ISERROR(SEARCH("N/U",D11)))</formula>
    </cfRule>
  </conditionalFormatting>
  <conditionalFormatting sqref="E11">
    <cfRule type="containsText" dxfId="210" priority="101" operator="containsText" text="High">
      <formula>NOT(ISERROR(SEARCH("High",E11)))</formula>
    </cfRule>
    <cfRule type="containsText" dxfId="209" priority="102" operator="containsText" text="Medium">
      <formula>NOT(ISERROR(SEARCH("Medium",E11)))</formula>
    </cfRule>
    <cfRule type="containsText" dxfId="208" priority="103" operator="containsText" text="Low">
      <formula>NOT(ISERROR(SEARCH("Low",E11)))</formula>
    </cfRule>
    <cfRule type="containsText" dxfId="207" priority="105" operator="containsText" text="N/U">
      <formula>NOT(ISERROR(SEARCH("N/U",E11)))</formula>
    </cfRule>
  </conditionalFormatting>
  <conditionalFormatting sqref="F11">
    <cfRule type="containsText" dxfId="206" priority="96" operator="containsText" text="High">
      <formula>NOT(ISERROR(SEARCH("High",F11)))</formula>
    </cfRule>
    <cfRule type="containsText" dxfId="205" priority="97" operator="containsText" text="Medium">
      <formula>NOT(ISERROR(SEARCH("Medium",F11)))</formula>
    </cfRule>
    <cfRule type="containsText" dxfId="204" priority="98" operator="containsText" text="Low">
      <formula>NOT(ISERROR(SEARCH("Low",F11)))</formula>
    </cfRule>
    <cfRule type="containsText" dxfId="203" priority="100" operator="containsText" text="N/U">
      <formula>NOT(ISERROR(SEARCH("N/U",F11)))</formula>
    </cfRule>
  </conditionalFormatting>
  <conditionalFormatting sqref="G11">
    <cfRule type="containsText" dxfId="202" priority="91" operator="containsText" text="High">
      <formula>NOT(ISERROR(SEARCH("High",G11)))</formula>
    </cfRule>
    <cfRule type="containsText" dxfId="201" priority="92" operator="containsText" text="Medium">
      <formula>NOT(ISERROR(SEARCH("Medium",G11)))</formula>
    </cfRule>
    <cfRule type="containsText" dxfId="200" priority="93" operator="containsText" text="Low">
      <formula>NOT(ISERROR(SEARCH("Low",G11)))</formula>
    </cfRule>
    <cfRule type="containsText" dxfId="199" priority="95" operator="containsText" text="N/U">
      <formula>NOT(ISERROR(SEARCH("N/U",G11)))</formula>
    </cfRule>
  </conditionalFormatting>
  <conditionalFormatting sqref="H11">
    <cfRule type="containsText" dxfId="198" priority="86" operator="containsText" text="High">
      <formula>NOT(ISERROR(SEARCH("High",H11)))</formula>
    </cfRule>
    <cfRule type="containsText" dxfId="197" priority="87" operator="containsText" text="Medium">
      <formula>NOT(ISERROR(SEARCH("Medium",H11)))</formula>
    </cfRule>
    <cfRule type="containsText" dxfId="196" priority="88" operator="containsText" text="Low">
      <formula>NOT(ISERROR(SEARCH("Low",H11)))</formula>
    </cfRule>
    <cfRule type="containsText" dxfId="195" priority="90" operator="containsText" text="N/U">
      <formula>NOT(ISERROR(SEARCH("N/U",H11)))</formula>
    </cfRule>
  </conditionalFormatting>
  <conditionalFormatting sqref="I11">
    <cfRule type="containsText" dxfId="194" priority="81" operator="containsText" text="High">
      <formula>NOT(ISERROR(SEARCH("High",I11)))</formula>
    </cfRule>
    <cfRule type="containsText" dxfId="193" priority="82" operator="containsText" text="Medium">
      <formula>NOT(ISERROR(SEARCH("Medium",I11)))</formula>
    </cfRule>
    <cfRule type="containsText" dxfId="192" priority="83" operator="containsText" text="Low">
      <formula>NOT(ISERROR(SEARCH("Low",I11)))</formula>
    </cfRule>
    <cfRule type="containsText" dxfId="191" priority="85" operator="containsText" text="N/U">
      <formula>NOT(ISERROR(SEARCH("N/U",I11)))</formula>
    </cfRule>
  </conditionalFormatting>
  <conditionalFormatting sqref="J11">
    <cfRule type="containsText" dxfId="190" priority="76" operator="containsText" text="High">
      <formula>NOT(ISERROR(SEARCH("High",J11)))</formula>
    </cfRule>
    <cfRule type="containsText" dxfId="189" priority="77" operator="containsText" text="Medium">
      <formula>NOT(ISERROR(SEARCH("Medium",J11)))</formula>
    </cfRule>
    <cfRule type="containsText" dxfId="188" priority="78" operator="containsText" text="Low">
      <formula>NOT(ISERROR(SEARCH("Low",J11)))</formula>
    </cfRule>
    <cfRule type="containsText" dxfId="187" priority="80" operator="containsText" text="N/U">
      <formula>NOT(ISERROR(SEARCH("N/U",J11)))</formula>
    </cfRule>
  </conditionalFormatting>
  <conditionalFormatting sqref="K11">
    <cfRule type="containsText" dxfId="186" priority="71" operator="containsText" text="High">
      <formula>NOT(ISERROR(SEARCH("High",K11)))</formula>
    </cfRule>
    <cfRule type="containsText" dxfId="185" priority="72" operator="containsText" text="Medium">
      <formula>NOT(ISERROR(SEARCH("Medium",K11)))</formula>
    </cfRule>
    <cfRule type="containsText" dxfId="184" priority="73" operator="containsText" text="Low">
      <formula>NOT(ISERROR(SEARCH("Low",K11)))</formula>
    </cfRule>
    <cfRule type="containsText" dxfId="183" priority="75" operator="containsText" text="N/U">
      <formula>NOT(ISERROR(SEARCH("N/U",K11)))</formula>
    </cfRule>
  </conditionalFormatting>
  <conditionalFormatting sqref="L11">
    <cfRule type="containsText" dxfId="182" priority="66" operator="containsText" text="High">
      <formula>NOT(ISERROR(SEARCH("High",L11)))</formula>
    </cfRule>
    <cfRule type="containsText" dxfId="181" priority="67" operator="containsText" text="Medium">
      <formula>NOT(ISERROR(SEARCH("Medium",L11)))</formula>
    </cfRule>
    <cfRule type="containsText" dxfId="180" priority="68" operator="containsText" text="Low">
      <formula>NOT(ISERROR(SEARCH("Low",L11)))</formula>
    </cfRule>
    <cfRule type="containsText" dxfId="179" priority="70" operator="containsText" text="N/U">
      <formula>NOT(ISERROR(SEARCH("N/U",L11)))</formula>
    </cfRule>
  </conditionalFormatting>
  <conditionalFormatting sqref="M11">
    <cfRule type="containsText" dxfId="178" priority="61" operator="containsText" text="High">
      <formula>NOT(ISERROR(SEARCH("High",M11)))</formula>
    </cfRule>
    <cfRule type="containsText" dxfId="177" priority="62" operator="containsText" text="Medium">
      <formula>NOT(ISERROR(SEARCH("Medium",M11)))</formula>
    </cfRule>
    <cfRule type="containsText" dxfId="176" priority="63" operator="containsText" text="Low">
      <formula>NOT(ISERROR(SEARCH("Low",M11)))</formula>
    </cfRule>
    <cfRule type="containsText" dxfId="175" priority="65" operator="containsText" text="N/U">
      <formula>NOT(ISERROR(SEARCH("N/U",M11)))</formula>
    </cfRule>
  </conditionalFormatting>
  <conditionalFormatting sqref="L12">
    <cfRule type="containsText" dxfId="174" priority="56" operator="containsText" text="High">
      <formula>NOT(ISERROR(SEARCH("High",L12)))</formula>
    </cfRule>
    <cfRule type="containsText" dxfId="173" priority="57" operator="containsText" text="Medium">
      <formula>NOT(ISERROR(SEARCH("Medium",L12)))</formula>
    </cfRule>
    <cfRule type="containsText" dxfId="172" priority="58" operator="containsText" text="Low">
      <formula>NOT(ISERROR(SEARCH("Low",L12)))</formula>
    </cfRule>
    <cfRule type="containsText" dxfId="171" priority="60" operator="containsText" text="N/U">
      <formula>NOT(ISERROR(SEARCH("N/U",L12)))</formula>
    </cfRule>
  </conditionalFormatting>
  <conditionalFormatting sqref="L13">
    <cfRule type="containsText" dxfId="170" priority="51" operator="containsText" text="High">
      <formula>NOT(ISERROR(SEARCH("High",L13)))</formula>
    </cfRule>
    <cfRule type="containsText" dxfId="169" priority="52" operator="containsText" text="Medium">
      <formula>NOT(ISERROR(SEARCH("Medium",L13)))</formula>
    </cfRule>
    <cfRule type="containsText" dxfId="168" priority="53" operator="containsText" text="Low">
      <formula>NOT(ISERROR(SEARCH("Low",L13)))</formula>
    </cfRule>
    <cfRule type="containsText" dxfId="167" priority="55" operator="containsText" text="N/U">
      <formula>NOT(ISERROR(SEARCH("N/U",L13)))</formula>
    </cfRule>
  </conditionalFormatting>
  <conditionalFormatting sqref="J13">
    <cfRule type="containsText" dxfId="166" priority="46" operator="containsText" text="High">
      <formula>NOT(ISERROR(SEARCH("High",J13)))</formula>
    </cfRule>
    <cfRule type="containsText" dxfId="165" priority="47" operator="containsText" text="Medium">
      <formula>NOT(ISERROR(SEARCH("Medium",J13)))</formula>
    </cfRule>
    <cfRule type="containsText" dxfId="164" priority="48" operator="containsText" text="Low">
      <formula>NOT(ISERROR(SEARCH("Low",J13)))</formula>
    </cfRule>
    <cfRule type="containsText" dxfId="163" priority="50" operator="containsText" text="N/U">
      <formula>NOT(ISERROR(SEARCH("N/U",J13)))</formula>
    </cfRule>
  </conditionalFormatting>
  <conditionalFormatting sqref="J12">
    <cfRule type="containsText" dxfId="162" priority="41" operator="containsText" text="High">
      <formula>NOT(ISERROR(SEARCH("High",J12)))</formula>
    </cfRule>
    <cfRule type="containsText" dxfId="161" priority="42" operator="containsText" text="Medium">
      <formula>NOT(ISERROR(SEARCH("Medium",J12)))</formula>
    </cfRule>
    <cfRule type="containsText" dxfId="160" priority="43" operator="containsText" text="Low">
      <formula>NOT(ISERROR(SEARCH("Low",J12)))</formula>
    </cfRule>
    <cfRule type="containsText" dxfId="159" priority="45" operator="containsText" text="N/U">
      <formula>NOT(ISERROR(SEARCH("N/U",J12)))</formula>
    </cfRule>
  </conditionalFormatting>
  <conditionalFormatting sqref="H12">
    <cfRule type="containsText" dxfId="158" priority="36" operator="containsText" text="High">
      <formula>NOT(ISERROR(SEARCH("High",H12)))</formula>
    </cfRule>
    <cfRule type="containsText" dxfId="157" priority="37" operator="containsText" text="Medium">
      <formula>NOT(ISERROR(SEARCH("Medium",H12)))</formula>
    </cfRule>
    <cfRule type="containsText" dxfId="156" priority="38" operator="containsText" text="Low">
      <formula>NOT(ISERROR(SEARCH("Low",H12)))</formula>
    </cfRule>
    <cfRule type="containsText" dxfId="155" priority="40" operator="containsText" text="N/U">
      <formula>NOT(ISERROR(SEARCH("N/U",H12)))</formula>
    </cfRule>
  </conditionalFormatting>
  <conditionalFormatting sqref="H13">
    <cfRule type="containsText" dxfId="154" priority="31" operator="containsText" text="High">
      <formula>NOT(ISERROR(SEARCH("High",H13)))</formula>
    </cfRule>
    <cfRule type="containsText" dxfId="153" priority="32" operator="containsText" text="Medium">
      <formula>NOT(ISERROR(SEARCH("Medium",H13)))</formula>
    </cfRule>
    <cfRule type="containsText" dxfId="152" priority="33" operator="containsText" text="Low">
      <formula>NOT(ISERROR(SEARCH("Low",H13)))</formula>
    </cfRule>
    <cfRule type="containsText" dxfId="151" priority="35" operator="containsText" text="N/U">
      <formula>NOT(ISERROR(SEARCH("N/U",H13)))</formula>
    </cfRule>
  </conditionalFormatting>
  <conditionalFormatting sqref="F13">
    <cfRule type="containsText" dxfId="150" priority="26" operator="containsText" text="High">
      <formula>NOT(ISERROR(SEARCH("High",F13)))</formula>
    </cfRule>
    <cfRule type="containsText" dxfId="149" priority="27" operator="containsText" text="Medium">
      <formula>NOT(ISERROR(SEARCH("Medium",F13)))</formula>
    </cfRule>
    <cfRule type="containsText" dxfId="148" priority="28" operator="containsText" text="Low">
      <formula>NOT(ISERROR(SEARCH("Low",F13)))</formula>
    </cfRule>
    <cfRule type="containsText" dxfId="147" priority="30" operator="containsText" text="N/U">
      <formula>NOT(ISERROR(SEARCH("N/U",F13)))</formula>
    </cfRule>
  </conditionalFormatting>
  <conditionalFormatting sqref="F12">
    <cfRule type="containsText" dxfId="146" priority="21" operator="containsText" text="High">
      <formula>NOT(ISERROR(SEARCH("High",F12)))</formula>
    </cfRule>
    <cfRule type="containsText" dxfId="145" priority="22" operator="containsText" text="Medium">
      <formula>NOT(ISERROR(SEARCH("Medium",F12)))</formula>
    </cfRule>
    <cfRule type="containsText" dxfId="144" priority="23" operator="containsText" text="Low">
      <formula>NOT(ISERROR(SEARCH("Low",F12)))</formula>
    </cfRule>
    <cfRule type="containsText" dxfId="143" priority="25" operator="containsText" text="N/U">
      <formula>NOT(ISERROR(SEARCH("N/U",F12)))</formula>
    </cfRule>
  </conditionalFormatting>
  <conditionalFormatting sqref="C12">
    <cfRule type="containsText" dxfId="142" priority="16" operator="containsText" text="High">
      <formula>NOT(ISERROR(SEARCH("High",C12)))</formula>
    </cfRule>
    <cfRule type="containsText" dxfId="141" priority="17" operator="containsText" text="Medium">
      <formula>NOT(ISERROR(SEARCH("Medium",C12)))</formula>
    </cfRule>
    <cfRule type="containsText" dxfId="140" priority="18" operator="containsText" text="Low">
      <formula>NOT(ISERROR(SEARCH("Low",C12)))</formula>
    </cfRule>
    <cfRule type="containsText" dxfId="139" priority="20" operator="containsText" text="N/U">
      <formula>NOT(ISERROR(SEARCH("N/U",C12)))</formula>
    </cfRule>
  </conditionalFormatting>
  <conditionalFormatting sqref="C13">
    <cfRule type="containsText" dxfId="138" priority="11" operator="containsText" text="High">
      <formula>NOT(ISERROR(SEARCH("High",C13)))</formula>
    </cfRule>
    <cfRule type="containsText" dxfId="137" priority="12" operator="containsText" text="Medium">
      <formula>NOT(ISERROR(SEARCH("Medium",C13)))</formula>
    </cfRule>
    <cfRule type="containsText" dxfId="136" priority="13" operator="containsText" text="Low">
      <formula>NOT(ISERROR(SEARCH("Low",C13)))</formula>
    </cfRule>
    <cfRule type="containsText" dxfId="135" priority="15" operator="containsText" text="N/U">
      <formula>NOT(ISERROR(SEARCH("N/U",C13)))</formula>
    </cfRule>
  </conditionalFormatting>
  <conditionalFormatting sqref="D13">
    <cfRule type="containsText" dxfId="134" priority="6" operator="containsText" text="High">
      <formula>NOT(ISERROR(SEARCH("High",D13)))</formula>
    </cfRule>
    <cfRule type="containsText" dxfId="133" priority="7" operator="containsText" text="Medium">
      <formula>NOT(ISERROR(SEARCH("Medium",D13)))</formula>
    </cfRule>
    <cfRule type="containsText" dxfId="132" priority="8" operator="containsText" text="Low">
      <formula>NOT(ISERROR(SEARCH("Low",D13)))</formula>
    </cfRule>
    <cfRule type="containsText" dxfId="131" priority="10" operator="containsText" text="N/U">
      <formula>NOT(ISERROR(SEARCH("N/U",D13)))</formula>
    </cfRule>
  </conditionalFormatting>
  <conditionalFormatting sqref="D12">
    <cfRule type="containsText" dxfId="130" priority="1" operator="containsText" text="High">
      <formula>NOT(ISERROR(SEARCH("High",D12)))</formula>
    </cfRule>
    <cfRule type="containsText" dxfId="129" priority="2" operator="containsText" text="Medium">
      <formula>NOT(ISERROR(SEARCH("Medium",D12)))</formula>
    </cfRule>
    <cfRule type="containsText" dxfId="128" priority="3" operator="containsText" text="Low">
      <formula>NOT(ISERROR(SEARCH("Low",D12)))</formula>
    </cfRule>
    <cfRule type="containsText" dxfId="127" priority="5" operator="containsText" text="N/U">
      <formula>NOT(ISERROR(SEARCH("N/U",D12)))</formula>
    </cfRule>
  </conditionalFormatting>
  <dataValidations count="2">
    <dataValidation type="list" allowBlank="1" showInputMessage="1" showErrorMessage="1" sqref="N3:O15 H14:M15 H12:H13 M9 H11:M11 E7:M7 K5 E10:G15 J12:J13 L12:L13 E3:H4 E5:I5 E6:H6 J3:J6 E8:H8 J8 E9:K9 H10 J10 L9:L10 C3:D15">
      <formula1>$Q$3:$Q$6</formula1>
    </dataValidation>
    <dataValidation type="list" allowBlank="1" showInputMessage="1" showErrorMessage="1" sqref="I12:I13 I6 I3:I4 I8 K6 I10 K10 M12:M13 K12:K13 K3:K4 L3:M6 K8:M8 M10">
      <formula1>$P$3:$P$6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ackToMainUsers">
                <anchor moveWithCells="1" sizeWithCells="1">
                  <from>
                    <xdr:col>1</xdr:col>
                    <xdr:colOff>68580</xdr:colOff>
                    <xdr:row>0</xdr:row>
                    <xdr:rowOff>121920</xdr:rowOff>
                  </from>
                  <to>
                    <xdr:col>1</xdr:col>
                    <xdr:colOff>1859280</xdr:colOff>
                    <xdr:row>1</xdr:row>
                    <xdr:rowOff>175260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634" operator="containsText" id="{F58507A4-E167-4A15-97C9-0675AAEFE06E}">
            <xm:f>NOT(ISERROR(SEARCH(Low,E4)))</xm:f>
            <xm:f>Low</xm:f>
            <x14:dxf>
              <font>
                <color rgb="FF9C5700"/>
              </font>
              <fill>
                <patternFill>
                  <bgColor rgb="FFFFEB9C"/>
                </patternFill>
              </fill>
            </x14:dxf>
          </x14:cfRule>
          <xm:sqref>E4 G4</xm:sqref>
        </x14:conditionalFormatting>
        <x14:conditionalFormatting xmlns:xm="http://schemas.microsoft.com/office/excel/2006/main">
          <x14:cfRule type="containsText" priority="629" operator="containsText" id="{2B86372E-F28B-4BD9-9B6A-E8F7AA2F537B}">
            <xm:f>NOT(ISERROR(SEARCH(Low,N4)))</xm:f>
            <xm:f>Low</xm:f>
            <x14:dxf>
              <font>
                <color rgb="FF9C5700"/>
              </font>
              <fill>
                <patternFill>
                  <bgColor rgb="FFFFEB9C"/>
                </patternFill>
              </fill>
            </x14:dxf>
          </x14:cfRule>
          <xm:sqref>N4</xm:sqref>
        </x14:conditionalFormatting>
        <x14:conditionalFormatting xmlns:xm="http://schemas.microsoft.com/office/excel/2006/main">
          <x14:cfRule type="containsText" priority="624" operator="containsText" id="{3416942F-3145-4270-A4C5-99AC8718D2F2}">
            <xm:f>NOT(ISERROR(SEARCH(Low,O4)))</xm:f>
            <xm:f>Low</xm:f>
            <x14:dxf>
              <font>
                <color rgb="FF9C5700"/>
              </font>
              <fill>
                <patternFill>
                  <bgColor rgb="FFFFEB9C"/>
                </patternFill>
              </fill>
            </x14:dxf>
          </x14:cfRule>
          <xm:sqref>O4</xm:sqref>
        </x14:conditionalFormatting>
        <x14:conditionalFormatting xmlns:xm="http://schemas.microsoft.com/office/excel/2006/main">
          <x14:cfRule type="containsText" priority="619" operator="containsText" id="{2CF169E7-43A8-45D7-A322-5FA5C2DC2C70}">
            <xm:f>NOT(ISERROR(SEARCH(Low,E13)))</xm:f>
            <xm:f>Low</xm:f>
            <x14:dxf>
              <font>
                <color rgb="FF9C5700"/>
              </font>
              <fill>
                <patternFill>
                  <bgColor rgb="FFFFEB9C"/>
                </patternFill>
              </fill>
            </x14:dxf>
          </x14:cfRule>
          <xm:sqref>E13 G13</xm:sqref>
        </x14:conditionalFormatting>
        <x14:conditionalFormatting xmlns:xm="http://schemas.microsoft.com/office/excel/2006/main">
          <x14:cfRule type="containsText" priority="614" operator="containsText" id="{21854A9A-53FE-4E39-8513-B1287098377B}">
            <xm:f>NOT(ISERROR(SEARCH(Low,N13)))</xm:f>
            <xm:f>Low</xm:f>
            <x14:dxf>
              <font>
                <color rgb="FF9C5700"/>
              </font>
              <fill>
                <patternFill>
                  <bgColor rgb="FFFFEB9C"/>
                </patternFill>
              </fill>
            </x14:dxf>
          </x14:cfRule>
          <xm:sqref>N13</xm:sqref>
        </x14:conditionalFormatting>
        <x14:conditionalFormatting xmlns:xm="http://schemas.microsoft.com/office/excel/2006/main">
          <x14:cfRule type="containsText" priority="609" operator="containsText" id="{E5EAA943-DD76-489D-9E71-7FEB352AB6AE}">
            <xm:f>NOT(ISERROR(SEARCH(Low,O13)))</xm:f>
            <xm:f>Low</xm:f>
            <x14:dxf>
              <font>
                <color rgb="FF9C5700"/>
              </font>
              <fill>
                <patternFill>
                  <bgColor rgb="FFFFEB9C"/>
                </patternFill>
              </fill>
            </x14:dxf>
          </x14:cfRule>
          <xm:sqref>O13</xm:sqref>
        </x14:conditionalFormatting>
        <x14:conditionalFormatting xmlns:xm="http://schemas.microsoft.com/office/excel/2006/main">
          <x14:cfRule type="containsText" priority="604" operator="containsText" id="{DF5990E4-08D0-46B3-A522-CCBFF7323B41}">
            <xm:f>NOT(ISERROR(SEARCH(Low,C14)))</xm:f>
            <xm:f>Low</xm:f>
            <x14:dxf>
              <font>
                <color rgb="FF9C5700"/>
              </font>
              <fill>
                <patternFill>
                  <bgColor rgb="FFFFEB9C"/>
                </patternFill>
              </fill>
            </x14:dxf>
          </x14:cfRule>
          <xm:sqref>C14:M14</xm:sqref>
        </x14:conditionalFormatting>
        <x14:conditionalFormatting xmlns:xm="http://schemas.microsoft.com/office/excel/2006/main">
          <x14:cfRule type="containsText" priority="599" operator="containsText" id="{97423C9A-F556-4714-9AA0-E07CDA2CAF95}">
            <xm:f>NOT(ISERROR(SEARCH(Low,N14)))</xm:f>
            <xm:f>Low</xm:f>
            <x14:dxf>
              <font>
                <color rgb="FF9C5700"/>
              </font>
              <fill>
                <patternFill>
                  <bgColor rgb="FFFFEB9C"/>
                </patternFill>
              </fill>
            </x14:dxf>
          </x14:cfRule>
          <xm:sqref>N14</xm:sqref>
        </x14:conditionalFormatting>
        <x14:conditionalFormatting xmlns:xm="http://schemas.microsoft.com/office/excel/2006/main">
          <x14:cfRule type="containsText" priority="594" operator="containsText" id="{456E727B-7A96-492E-BF45-CD3BB0C74966}">
            <xm:f>NOT(ISERROR(SEARCH(Low,O14)))</xm:f>
            <xm:f>Low</xm:f>
            <x14:dxf>
              <font>
                <color rgb="FF9C5700"/>
              </font>
              <fill>
                <patternFill>
                  <bgColor rgb="FFFFEB9C"/>
                </patternFill>
              </fill>
            </x14:dxf>
          </x14:cfRule>
          <xm:sqref>O14</xm:sqref>
        </x14:conditionalFormatting>
        <x14:conditionalFormatting xmlns:xm="http://schemas.microsoft.com/office/excel/2006/main">
          <x14:cfRule type="containsText" priority="589" operator="containsText" id="{BF222DE0-3729-4E87-9BE3-DB6180C9E43E}">
            <xm:f>NOT(ISERROR(SEARCH(Low,C15)))</xm:f>
            <xm:f>Low</xm:f>
            <x14:dxf>
              <font>
                <color rgb="FF9C5700"/>
              </font>
              <fill>
                <patternFill>
                  <bgColor rgb="FFFFEB9C"/>
                </patternFill>
              </fill>
            </x14:dxf>
          </x14:cfRule>
          <xm:sqref>C15:M15</xm:sqref>
        </x14:conditionalFormatting>
        <x14:conditionalFormatting xmlns:xm="http://schemas.microsoft.com/office/excel/2006/main">
          <x14:cfRule type="containsText" priority="584" operator="containsText" id="{1C9BD5A7-A097-4310-B6B1-3C85365D71C2}">
            <xm:f>NOT(ISERROR(SEARCH(Low,N15)))</xm:f>
            <xm:f>Low</xm:f>
            <x14:dxf>
              <font>
                <color rgb="FF9C5700"/>
              </font>
              <fill>
                <patternFill>
                  <bgColor rgb="FFFFEB9C"/>
                </patternFill>
              </fill>
            </x14:dxf>
          </x14:cfRule>
          <xm:sqref>N15</xm:sqref>
        </x14:conditionalFormatting>
        <x14:conditionalFormatting xmlns:xm="http://schemas.microsoft.com/office/excel/2006/main">
          <x14:cfRule type="containsText" priority="579" operator="containsText" id="{95D863DF-72F3-429F-9F27-76EA2D9B5A65}">
            <xm:f>NOT(ISERROR(SEARCH(Low,O15)))</xm:f>
            <xm:f>Low</xm:f>
            <x14:dxf>
              <font>
                <color rgb="FF9C5700"/>
              </font>
              <fill>
                <patternFill>
                  <bgColor rgb="FFFFEB9C"/>
                </patternFill>
              </fill>
            </x14:dxf>
          </x14:cfRule>
          <xm:sqref>O15</xm:sqref>
        </x14:conditionalFormatting>
        <x14:conditionalFormatting xmlns:xm="http://schemas.microsoft.com/office/excel/2006/main">
          <x14:cfRule type="containsText" priority="574" operator="containsText" id="{27D493C1-A24F-443D-9D2E-34974E8A7072}">
            <xm:f>NOT(ISERROR(SEARCH(Low,E3)))</xm:f>
            <xm:f>Low</xm:f>
            <x14:dxf>
              <font>
                <color rgb="FF9C5700"/>
              </font>
              <fill>
                <patternFill>
                  <bgColor rgb="FFFFEB9C"/>
                </patternFill>
              </fill>
            </x14:dxf>
          </x14:cfRule>
          <xm:sqref>E3 G3</xm:sqref>
        </x14:conditionalFormatting>
        <x14:conditionalFormatting xmlns:xm="http://schemas.microsoft.com/office/excel/2006/main">
          <x14:cfRule type="containsText" priority="569" operator="containsText" id="{C8C7D447-5607-47BF-844E-DB437CDE5892}">
            <xm:f>NOT(ISERROR(SEARCH(Low,N5)))</xm:f>
            <xm:f>Low</xm:f>
            <x14:dxf>
              <font>
                <color rgb="FF9C5700"/>
              </font>
              <fill>
                <patternFill>
                  <bgColor rgb="FFFFEB9C"/>
                </patternFill>
              </fill>
            </x14:dxf>
          </x14:cfRule>
          <xm:sqref>N5</xm:sqref>
        </x14:conditionalFormatting>
        <x14:conditionalFormatting xmlns:xm="http://schemas.microsoft.com/office/excel/2006/main">
          <x14:cfRule type="containsText" priority="564" operator="containsText" id="{559A7BD1-461B-440F-ABCD-096411AC3CD9}">
            <xm:f>NOT(ISERROR(SEARCH(Low,O5)))</xm:f>
            <xm:f>Low</xm:f>
            <x14:dxf>
              <font>
                <color rgb="FF9C5700"/>
              </font>
              <fill>
                <patternFill>
                  <bgColor rgb="FFFFEB9C"/>
                </patternFill>
              </fill>
            </x14:dxf>
          </x14:cfRule>
          <xm:sqref>O5</xm:sqref>
        </x14:conditionalFormatting>
        <x14:conditionalFormatting xmlns:xm="http://schemas.microsoft.com/office/excel/2006/main">
          <x14:cfRule type="containsText" priority="559" operator="containsText" id="{FE6D6E2D-4131-40A5-85E3-8BD11A987CCC}">
            <xm:f>NOT(ISERROR(SEARCH(Low,E6)))</xm:f>
            <xm:f>Low</xm:f>
            <x14:dxf>
              <font>
                <color rgb="FF9C5700"/>
              </font>
              <fill>
                <patternFill>
                  <bgColor rgb="FFFFEB9C"/>
                </patternFill>
              </fill>
            </x14:dxf>
          </x14:cfRule>
          <xm:sqref>E6 G6</xm:sqref>
        </x14:conditionalFormatting>
        <x14:conditionalFormatting xmlns:xm="http://schemas.microsoft.com/office/excel/2006/main">
          <x14:cfRule type="containsText" priority="554" operator="containsText" id="{F14A315A-2E25-41F1-AEDB-EA3AEB13CE7C}">
            <xm:f>NOT(ISERROR(SEARCH(Low,N6)))</xm:f>
            <xm:f>Low</xm:f>
            <x14:dxf>
              <font>
                <color rgb="FF9C5700"/>
              </font>
              <fill>
                <patternFill>
                  <bgColor rgb="FFFFEB9C"/>
                </patternFill>
              </fill>
            </x14:dxf>
          </x14:cfRule>
          <xm:sqref>N6</xm:sqref>
        </x14:conditionalFormatting>
        <x14:conditionalFormatting xmlns:xm="http://schemas.microsoft.com/office/excel/2006/main">
          <x14:cfRule type="containsText" priority="549" operator="containsText" id="{D0AED726-9AF3-471F-8A22-2E03E3E03E29}">
            <xm:f>NOT(ISERROR(SEARCH(Low,O6)))</xm:f>
            <xm:f>Low</xm:f>
            <x14:dxf>
              <font>
                <color rgb="FF9C5700"/>
              </font>
              <fill>
                <patternFill>
                  <bgColor rgb="FFFFEB9C"/>
                </patternFill>
              </fill>
            </x14:dxf>
          </x14:cfRule>
          <xm:sqref>O6</xm:sqref>
        </x14:conditionalFormatting>
        <x14:conditionalFormatting xmlns:xm="http://schemas.microsoft.com/office/excel/2006/main">
          <x14:cfRule type="containsText" priority="544" operator="containsText" id="{04BB77E1-FD20-4A1F-9578-6D0552E5CF92}">
            <xm:f>NOT(ISERROR(SEARCH(Low,N7)))</xm:f>
            <xm:f>Low</xm:f>
            <x14:dxf>
              <font>
                <color rgb="FF9C5700"/>
              </font>
              <fill>
                <patternFill>
                  <bgColor rgb="FFFFEB9C"/>
                </patternFill>
              </fill>
            </x14:dxf>
          </x14:cfRule>
          <xm:sqref>N7</xm:sqref>
        </x14:conditionalFormatting>
        <x14:conditionalFormatting xmlns:xm="http://schemas.microsoft.com/office/excel/2006/main">
          <x14:cfRule type="containsText" priority="539" operator="containsText" id="{83D7140D-065B-4E44-BF7D-B8F70EA60190}">
            <xm:f>NOT(ISERROR(SEARCH(Low,O7)))</xm:f>
            <xm:f>Low</xm:f>
            <x14:dxf>
              <font>
                <color rgb="FF9C5700"/>
              </font>
              <fill>
                <patternFill>
                  <bgColor rgb="FFFFEB9C"/>
                </patternFill>
              </fill>
            </x14:dxf>
          </x14:cfRule>
          <xm:sqref>O7</xm:sqref>
        </x14:conditionalFormatting>
        <x14:conditionalFormatting xmlns:xm="http://schemas.microsoft.com/office/excel/2006/main">
          <x14:cfRule type="containsText" priority="534" operator="containsText" id="{6A177B8E-E7A0-4D59-A990-078A3EA34042}">
            <xm:f>NOT(ISERROR(SEARCH(Low,E8)))</xm:f>
            <xm:f>Low</xm:f>
            <x14:dxf>
              <font>
                <color rgb="FF9C5700"/>
              </font>
              <fill>
                <patternFill>
                  <bgColor rgb="FFFFEB9C"/>
                </patternFill>
              </fill>
            </x14:dxf>
          </x14:cfRule>
          <xm:sqref>E8 G8</xm:sqref>
        </x14:conditionalFormatting>
        <x14:conditionalFormatting xmlns:xm="http://schemas.microsoft.com/office/excel/2006/main">
          <x14:cfRule type="containsText" priority="529" operator="containsText" id="{4F77FA75-F21E-4755-BF23-BA9893DE37D1}">
            <xm:f>NOT(ISERROR(SEARCH(Low,N8)))</xm:f>
            <xm:f>Low</xm:f>
            <x14:dxf>
              <font>
                <color rgb="FF9C5700"/>
              </font>
              <fill>
                <patternFill>
                  <bgColor rgb="FFFFEB9C"/>
                </patternFill>
              </fill>
            </x14:dxf>
          </x14:cfRule>
          <xm:sqref>N8</xm:sqref>
        </x14:conditionalFormatting>
        <x14:conditionalFormatting xmlns:xm="http://schemas.microsoft.com/office/excel/2006/main">
          <x14:cfRule type="containsText" priority="524" operator="containsText" id="{E0CAE8EE-A426-4007-8646-8DF0C562F0C4}">
            <xm:f>NOT(ISERROR(SEARCH(Low,O8)))</xm:f>
            <xm:f>Low</xm:f>
            <x14:dxf>
              <font>
                <color rgb="FF9C5700"/>
              </font>
              <fill>
                <patternFill>
                  <bgColor rgb="FFFFEB9C"/>
                </patternFill>
              </fill>
            </x14:dxf>
          </x14:cfRule>
          <xm:sqref>O8</xm:sqref>
        </x14:conditionalFormatting>
        <x14:conditionalFormatting xmlns:xm="http://schemas.microsoft.com/office/excel/2006/main">
          <x14:cfRule type="containsText" priority="519" operator="containsText" id="{A2975827-D349-4F34-9948-06EE2A73D638}">
            <xm:f>NOT(ISERROR(SEARCH(Low,N9)))</xm:f>
            <xm:f>Low</xm:f>
            <x14:dxf>
              <font>
                <color rgb="FF9C5700"/>
              </font>
              <fill>
                <patternFill>
                  <bgColor rgb="FFFFEB9C"/>
                </patternFill>
              </fill>
            </x14:dxf>
          </x14:cfRule>
          <xm:sqref>N9</xm:sqref>
        </x14:conditionalFormatting>
        <x14:conditionalFormatting xmlns:xm="http://schemas.microsoft.com/office/excel/2006/main">
          <x14:cfRule type="containsText" priority="514" operator="containsText" id="{39078B06-BB5F-44C1-B2B6-27DD971965EB}">
            <xm:f>NOT(ISERROR(SEARCH(Low,O9)))</xm:f>
            <xm:f>Low</xm:f>
            <x14:dxf>
              <font>
                <color rgb="FF9C5700"/>
              </font>
              <fill>
                <patternFill>
                  <bgColor rgb="FFFFEB9C"/>
                </patternFill>
              </fill>
            </x14:dxf>
          </x14:cfRule>
          <xm:sqref>O9</xm:sqref>
        </x14:conditionalFormatting>
        <x14:conditionalFormatting xmlns:xm="http://schemas.microsoft.com/office/excel/2006/main">
          <x14:cfRule type="containsText" priority="509" operator="containsText" id="{2496404B-01BA-4F16-8EAC-8B9FCD52970F}">
            <xm:f>NOT(ISERROR(SEARCH(Low,E10)))</xm:f>
            <xm:f>Low</xm:f>
            <x14:dxf>
              <font>
                <color rgb="FF9C5700"/>
              </font>
              <fill>
                <patternFill>
                  <bgColor rgb="FFFFEB9C"/>
                </patternFill>
              </fill>
            </x14:dxf>
          </x14:cfRule>
          <xm:sqref>E10 G10</xm:sqref>
        </x14:conditionalFormatting>
        <x14:conditionalFormatting xmlns:xm="http://schemas.microsoft.com/office/excel/2006/main">
          <x14:cfRule type="containsText" priority="504" operator="containsText" id="{7E81ECB3-0FE1-4E2B-B7CE-AEC26F35683E}">
            <xm:f>NOT(ISERROR(SEARCH(Low,N10)))</xm:f>
            <xm:f>Low</xm:f>
            <x14:dxf>
              <font>
                <color rgb="FF9C5700"/>
              </font>
              <fill>
                <patternFill>
                  <bgColor rgb="FFFFEB9C"/>
                </patternFill>
              </fill>
            </x14:dxf>
          </x14:cfRule>
          <xm:sqref>N10</xm:sqref>
        </x14:conditionalFormatting>
        <x14:conditionalFormatting xmlns:xm="http://schemas.microsoft.com/office/excel/2006/main">
          <x14:cfRule type="containsText" priority="499" operator="containsText" id="{B4141B6D-FE2F-46B9-8E9C-592C0C2EF5C6}">
            <xm:f>NOT(ISERROR(SEARCH(Low,O10)))</xm:f>
            <xm:f>Low</xm:f>
            <x14:dxf>
              <font>
                <color rgb="FF9C5700"/>
              </font>
              <fill>
                <patternFill>
                  <bgColor rgb="FFFFEB9C"/>
                </patternFill>
              </fill>
            </x14:dxf>
          </x14:cfRule>
          <xm:sqref>O10</xm:sqref>
        </x14:conditionalFormatting>
        <x14:conditionalFormatting xmlns:xm="http://schemas.microsoft.com/office/excel/2006/main">
          <x14:cfRule type="containsText" priority="494" operator="containsText" id="{7CB39F7B-1DB2-4108-8BCA-20CA36571249}">
            <xm:f>NOT(ISERROR(SEARCH(Low,N11)))</xm:f>
            <xm:f>Low</xm:f>
            <x14:dxf>
              <font>
                <color rgb="FF9C5700"/>
              </font>
              <fill>
                <patternFill>
                  <bgColor rgb="FFFFEB9C"/>
                </patternFill>
              </fill>
            </x14:dxf>
          </x14:cfRule>
          <xm:sqref>N11</xm:sqref>
        </x14:conditionalFormatting>
        <x14:conditionalFormatting xmlns:xm="http://schemas.microsoft.com/office/excel/2006/main">
          <x14:cfRule type="containsText" priority="489" operator="containsText" id="{94665A48-9E9C-4AE8-89F6-791FAF990201}">
            <xm:f>NOT(ISERROR(SEARCH(Low,O11)))</xm:f>
            <xm:f>Low</xm:f>
            <x14:dxf>
              <font>
                <color rgb="FF9C5700"/>
              </font>
              <fill>
                <patternFill>
                  <bgColor rgb="FFFFEB9C"/>
                </patternFill>
              </fill>
            </x14:dxf>
          </x14:cfRule>
          <xm:sqref>O11</xm:sqref>
        </x14:conditionalFormatting>
        <x14:conditionalFormatting xmlns:xm="http://schemas.microsoft.com/office/excel/2006/main">
          <x14:cfRule type="containsText" priority="484" operator="containsText" id="{654B22DD-2C5B-4288-99D2-079E8279F121}">
            <xm:f>NOT(ISERROR(SEARCH(Low,E12)))</xm:f>
            <xm:f>Low</xm:f>
            <x14:dxf>
              <font>
                <color rgb="FF9C5700"/>
              </font>
              <fill>
                <patternFill>
                  <bgColor rgb="FFFFEB9C"/>
                </patternFill>
              </fill>
            </x14:dxf>
          </x14:cfRule>
          <xm:sqref>E12 G12</xm:sqref>
        </x14:conditionalFormatting>
        <x14:conditionalFormatting xmlns:xm="http://schemas.microsoft.com/office/excel/2006/main">
          <x14:cfRule type="containsText" priority="479" operator="containsText" id="{20344A1D-EA25-4DA6-BB27-874D1C24A20F}">
            <xm:f>NOT(ISERROR(SEARCH(Low,N12)))</xm:f>
            <xm:f>Low</xm:f>
            <x14:dxf>
              <font>
                <color rgb="FF9C5700"/>
              </font>
              <fill>
                <patternFill>
                  <bgColor rgb="FFFFEB9C"/>
                </patternFill>
              </fill>
            </x14:dxf>
          </x14:cfRule>
          <xm:sqref>N12</xm:sqref>
        </x14:conditionalFormatting>
        <x14:conditionalFormatting xmlns:xm="http://schemas.microsoft.com/office/excel/2006/main">
          <x14:cfRule type="containsText" priority="474" operator="containsText" id="{E2A49DFF-57D0-4CD9-BE8D-04D344DBFABA}">
            <xm:f>NOT(ISERROR(SEARCH(Low,O12)))</xm:f>
            <xm:f>Low</xm:f>
            <x14:dxf>
              <font>
                <color rgb="FF9C5700"/>
              </font>
              <fill>
                <patternFill>
                  <bgColor rgb="FFFFEB9C"/>
                </patternFill>
              </fill>
            </x14:dxf>
          </x14:cfRule>
          <xm:sqref>O12</xm:sqref>
        </x14:conditionalFormatting>
        <x14:conditionalFormatting xmlns:xm="http://schemas.microsoft.com/office/excel/2006/main">
          <x14:cfRule type="containsText" priority="469" operator="containsText" id="{3B2E5AB2-4666-43D3-9149-AC8058EE1E51}">
            <xm:f>NOT(ISERROR(SEARCH(Low,N3)))</xm:f>
            <xm:f>Low</xm:f>
            <x14:dxf>
              <font>
                <color rgb="FF9C5700"/>
              </font>
              <fill>
                <patternFill>
                  <bgColor rgb="FFFFEB9C"/>
                </patternFill>
              </fill>
            </x14:dxf>
          </x14:cfRule>
          <xm:sqref>N3</xm:sqref>
        </x14:conditionalFormatting>
        <x14:conditionalFormatting xmlns:xm="http://schemas.microsoft.com/office/excel/2006/main">
          <x14:cfRule type="containsText" priority="464" operator="containsText" id="{7B79B82E-0BBF-455B-801A-2FF7679425D3}">
            <xm:f>NOT(ISERROR(SEARCH(Low,O3)))</xm:f>
            <xm:f>Low</xm:f>
            <x14:dxf>
              <font>
                <color rgb="FF9C5700"/>
              </font>
              <fill>
                <patternFill>
                  <bgColor rgb="FFFFEB9C"/>
                </patternFill>
              </fill>
            </x14:dxf>
          </x14:cfRule>
          <xm:sqref>O3</xm:sqref>
        </x14:conditionalFormatting>
        <x14:conditionalFormatting xmlns:xm="http://schemas.microsoft.com/office/excel/2006/main">
          <x14:cfRule type="containsText" priority="459" operator="containsText" id="{57C8366A-C458-4A08-A51A-5D9199D9627D}">
            <xm:f>NOT(ISERROR(SEARCH(Low,I4)))</xm:f>
            <xm:f>Low</xm:f>
            <x14:dxf>
              <font>
                <color rgb="FF9C5700"/>
              </font>
              <fill>
                <patternFill>
                  <bgColor rgb="FFFFEB9C"/>
                </patternFill>
              </fill>
            </x14:dxf>
          </x14:cfRule>
          <xm:sqref>I4 K4:M4</xm:sqref>
        </x14:conditionalFormatting>
        <x14:conditionalFormatting xmlns:xm="http://schemas.microsoft.com/office/excel/2006/main">
          <x14:cfRule type="containsText" priority="454" operator="containsText" id="{8BAB575D-DECC-40F7-8DF1-2566148892DA}">
            <xm:f>NOT(ISERROR(SEARCH(Low,I13)))</xm:f>
            <xm:f>Low</xm:f>
            <x14:dxf>
              <font>
                <color rgb="FF9C5700"/>
              </font>
              <fill>
                <patternFill>
                  <bgColor rgb="FFFFEB9C"/>
                </patternFill>
              </fill>
            </x14:dxf>
          </x14:cfRule>
          <xm:sqref>I13 K13 M13</xm:sqref>
        </x14:conditionalFormatting>
        <x14:conditionalFormatting xmlns:xm="http://schemas.microsoft.com/office/excel/2006/main">
          <x14:cfRule type="containsText" priority="449" operator="containsText" id="{54BF45F2-D1B0-4A4D-8C59-9C23E81C2CF9}">
            <xm:f>NOT(ISERROR(SEARCH(Low,L5)))</xm:f>
            <xm:f>Low</xm:f>
            <x14:dxf>
              <font>
                <color rgb="FF9C5700"/>
              </font>
              <fill>
                <patternFill>
                  <bgColor rgb="FFFFEB9C"/>
                </patternFill>
              </fill>
            </x14:dxf>
          </x14:cfRule>
          <xm:sqref>L5:M5</xm:sqref>
        </x14:conditionalFormatting>
        <x14:conditionalFormatting xmlns:xm="http://schemas.microsoft.com/office/excel/2006/main">
          <x14:cfRule type="containsText" priority="444" operator="containsText" id="{199F40CE-B9CA-4FE7-87A1-C028997F8FAD}">
            <xm:f>NOT(ISERROR(SEARCH(Low,I6)))</xm:f>
            <xm:f>Low</xm:f>
            <x14:dxf>
              <font>
                <color rgb="FF9C5700"/>
              </font>
              <fill>
                <patternFill>
                  <bgColor rgb="FFFFEB9C"/>
                </patternFill>
              </fill>
            </x14:dxf>
          </x14:cfRule>
          <xm:sqref>I6 K6:M6</xm:sqref>
        </x14:conditionalFormatting>
        <x14:conditionalFormatting xmlns:xm="http://schemas.microsoft.com/office/excel/2006/main">
          <x14:cfRule type="containsText" priority="439" operator="containsText" id="{BBC73069-B4C9-47FF-A3D7-0A4458B43888}">
            <xm:f>NOT(ISERROR(SEARCH(Low,I8)))</xm:f>
            <xm:f>Low</xm:f>
            <x14:dxf>
              <font>
                <color rgb="FF9C5700"/>
              </font>
              <fill>
                <patternFill>
                  <bgColor rgb="FFFFEB9C"/>
                </patternFill>
              </fill>
            </x14:dxf>
          </x14:cfRule>
          <xm:sqref>I8 K8:M8</xm:sqref>
        </x14:conditionalFormatting>
        <x14:conditionalFormatting xmlns:xm="http://schemas.microsoft.com/office/excel/2006/main">
          <x14:cfRule type="containsText" priority="434" operator="containsText" id="{FCF62F7D-CC19-4BD7-BC26-97618E0E025B}">
            <xm:f>NOT(ISERROR(SEARCH(Low,I10)))</xm:f>
            <xm:f>Low</xm:f>
            <x14:dxf>
              <font>
                <color rgb="FF9C5700"/>
              </font>
              <fill>
                <patternFill>
                  <bgColor rgb="FFFFEB9C"/>
                </patternFill>
              </fill>
            </x14:dxf>
          </x14:cfRule>
          <xm:sqref>I10 K10 M10</xm:sqref>
        </x14:conditionalFormatting>
        <x14:conditionalFormatting xmlns:xm="http://schemas.microsoft.com/office/excel/2006/main">
          <x14:cfRule type="containsText" priority="429" operator="containsText" id="{C5196815-DFDB-4DFB-A761-E11CB7CCC909}">
            <xm:f>NOT(ISERROR(SEARCH(Low,M12)))</xm:f>
            <xm:f>Low</xm:f>
            <x14:dxf>
              <font>
                <color rgb="FF9C5700"/>
              </font>
              <fill>
                <patternFill>
                  <bgColor rgb="FFFFEB9C"/>
                </patternFill>
              </fill>
            </x14:dxf>
          </x14:cfRule>
          <xm:sqref>M12</xm:sqref>
        </x14:conditionalFormatting>
        <x14:conditionalFormatting xmlns:xm="http://schemas.microsoft.com/office/excel/2006/main">
          <x14:cfRule type="containsText" priority="424" operator="containsText" id="{3DA856AF-9ABE-4D73-B039-EF36B5E154BF}">
            <xm:f>NOT(ISERROR(SEARCH(Low,I3)))</xm:f>
            <xm:f>Low</xm:f>
            <x14:dxf>
              <font>
                <color rgb="FF9C5700"/>
              </font>
              <fill>
                <patternFill>
                  <bgColor rgb="FFFFEB9C"/>
                </patternFill>
              </fill>
            </x14:dxf>
          </x14:cfRule>
          <xm:sqref>I3</xm:sqref>
        </x14:conditionalFormatting>
        <x14:conditionalFormatting xmlns:xm="http://schemas.microsoft.com/office/excel/2006/main">
          <x14:cfRule type="containsText" priority="419" operator="containsText" id="{B9052401-782C-4601-B1CC-24ABE3820B71}">
            <xm:f>NOT(ISERROR(SEARCH(Low,K3)))</xm:f>
            <xm:f>Low</xm:f>
            <x14:dxf>
              <font>
                <color rgb="FF9C5700"/>
              </font>
              <fill>
                <patternFill>
                  <bgColor rgb="FFFFEB9C"/>
                </patternFill>
              </fill>
            </x14:dxf>
          </x14:cfRule>
          <xm:sqref>K3</xm:sqref>
        </x14:conditionalFormatting>
        <x14:conditionalFormatting xmlns:xm="http://schemas.microsoft.com/office/excel/2006/main">
          <x14:cfRule type="containsText" priority="414" operator="containsText" id="{99374DDC-CCFE-4E43-AF1B-29374FBDCB41}">
            <xm:f>NOT(ISERROR(SEARCH(Low,L3)))</xm:f>
            <xm:f>Low</xm:f>
            <x14:dxf>
              <font>
                <color rgb="FF9C5700"/>
              </font>
              <fill>
                <patternFill>
                  <bgColor rgb="FFFFEB9C"/>
                </patternFill>
              </fill>
            </x14:dxf>
          </x14:cfRule>
          <xm:sqref>L3</xm:sqref>
        </x14:conditionalFormatting>
        <x14:conditionalFormatting xmlns:xm="http://schemas.microsoft.com/office/excel/2006/main">
          <x14:cfRule type="containsText" priority="409" operator="containsText" id="{F9BB7E92-4A46-481A-ACD0-C7AF05EC9596}">
            <xm:f>NOT(ISERROR(SEARCH(Low,M3)))</xm:f>
            <xm:f>Low</xm:f>
            <x14:dxf>
              <font>
                <color rgb="FF9C5700"/>
              </font>
              <fill>
                <patternFill>
                  <bgColor rgb="FFFFEB9C"/>
                </patternFill>
              </fill>
            </x14:dxf>
          </x14:cfRule>
          <xm:sqref>M3</xm:sqref>
        </x14:conditionalFormatting>
        <x14:conditionalFormatting xmlns:xm="http://schemas.microsoft.com/office/excel/2006/main">
          <x14:cfRule type="containsText" priority="404" operator="containsText" id="{05444AC5-BAD5-450E-8D0E-4DD4D61F1632}">
            <xm:f>NOT(ISERROR(SEARCH(Low,I12)))</xm:f>
            <xm:f>Low</xm:f>
            <x14:dxf>
              <font>
                <color rgb="FF9C5700"/>
              </font>
              <fill>
                <patternFill>
                  <bgColor rgb="FFFFEB9C"/>
                </patternFill>
              </fill>
            </x14:dxf>
          </x14:cfRule>
          <xm:sqref>I12 K12</xm:sqref>
        </x14:conditionalFormatting>
        <x14:conditionalFormatting xmlns:xm="http://schemas.microsoft.com/office/excel/2006/main">
          <x14:cfRule type="containsText" priority="399" operator="containsText" id="{003EC3F2-7875-42BE-BA27-BACC09BE72E7}">
            <xm:f>NOT(ISERROR(SEARCH(Low,C3)))</xm:f>
            <xm:f>Low</xm:f>
            <x14:dxf>
              <font>
                <color rgb="FF9C5700"/>
              </font>
              <fill>
                <patternFill>
                  <bgColor rgb="FFFFEB9C"/>
                </patternFill>
              </fill>
            </x14:dxf>
          </x14:cfRule>
          <xm:sqref>C3</xm:sqref>
        </x14:conditionalFormatting>
        <x14:conditionalFormatting xmlns:xm="http://schemas.microsoft.com/office/excel/2006/main">
          <x14:cfRule type="containsText" priority="394" operator="containsText" id="{9B3A20D1-B4B9-4A68-A65A-815421C1B5A5}">
            <xm:f>NOT(ISERROR(SEARCH(Low,D3)))</xm:f>
            <xm:f>Low</xm:f>
            <x14:dxf>
              <font>
                <color rgb="FF9C5700"/>
              </font>
              <fill>
                <patternFill>
                  <bgColor rgb="FFFFEB9C"/>
                </patternFill>
              </fill>
            </x14:dxf>
          </x14:cfRule>
          <xm:sqref>D3</xm:sqref>
        </x14:conditionalFormatting>
        <x14:conditionalFormatting xmlns:xm="http://schemas.microsoft.com/office/excel/2006/main">
          <x14:cfRule type="containsText" priority="389" operator="containsText" id="{F0D164DE-B92D-4186-9E21-32CDB8A85D42}">
            <xm:f>NOT(ISERROR(SEARCH(Low,F3)))</xm:f>
            <xm:f>Low</xm:f>
            <x14:dxf>
              <font>
                <color rgb="FF9C5700"/>
              </font>
              <fill>
                <patternFill>
                  <bgColor rgb="FFFFEB9C"/>
                </patternFill>
              </fill>
            </x14:dxf>
          </x14:cfRule>
          <xm:sqref>F3</xm:sqref>
        </x14:conditionalFormatting>
        <x14:conditionalFormatting xmlns:xm="http://schemas.microsoft.com/office/excel/2006/main">
          <x14:cfRule type="containsText" priority="384" operator="containsText" id="{173A6B22-59B4-45C4-9D96-7A9860110F6F}">
            <xm:f>NOT(ISERROR(SEARCH(Low,H3)))</xm:f>
            <xm:f>Low</xm:f>
            <x14:dxf>
              <font>
                <color rgb="FF9C5700"/>
              </font>
              <fill>
                <patternFill>
                  <bgColor rgb="FFFFEB9C"/>
                </patternFill>
              </fill>
            </x14:dxf>
          </x14:cfRule>
          <xm:sqref>H3</xm:sqref>
        </x14:conditionalFormatting>
        <x14:conditionalFormatting xmlns:xm="http://schemas.microsoft.com/office/excel/2006/main">
          <x14:cfRule type="containsText" priority="379" operator="containsText" id="{610594A2-57CB-48A7-80EA-ECCE4BA90155}">
            <xm:f>NOT(ISERROR(SEARCH(Low,J3)))</xm:f>
            <xm:f>Low</xm:f>
            <x14:dxf>
              <font>
                <color rgb="FF9C5700"/>
              </font>
              <fill>
                <patternFill>
                  <bgColor rgb="FFFFEB9C"/>
                </patternFill>
              </fill>
            </x14:dxf>
          </x14:cfRule>
          <xm:sqref>J3</xm:sqref>
        </x14:conditionalFormatting>
        <x14:conditionalFormatting xmlns:xm="http://schemas.microsoft.com/office/excel/2006/main">
          <x14:cfRule type="containsText" priority="374" operator="containsText" id="{D1E8A5FA-274F-40C8-90B4-7C8EE24C0812}">
            <xm:f>NOT(ISERROR(SEARCH(Low,J4)))</xm:f>
            <xm:f>Low</xm:f>
            <x14:dxf>
              <font>
                <color rgb="FF9C5700"/>
              </font>
              <fill>
                <patternFill>
                  <bgColor rgb="FFFFEB9C"/>
                </patternFill>
              </fill>
            </x14:dxf>
          </x14:cfRule>
          <xm:sqref>J4</xm:sqref>
        </x14:conditionalFormatting>
        <x14:conditionalFormatting xmlns:xm="http://schemas.microsoft.com/office/excel/2006/main">
          <x14:cfRule type="containsText" priority="369" operator="containsText" id="{21AE652A-1D60-478C-8089-B5EEF51A0900}">
            <xm:f>NOT(ISERROR(SEARCH(Low,H4)))</xm:f>
            <xm:f>Low</xm:f>
            <x14:dxf>
              <font>
                <color rgb="FF9C5700"/>
              </font>
              <fill>
                <patternFill>
                  <bgColor rgb="FFFFEB9C"/>
                </patternFill>
              </fill>
            </x14:dxf>
          </x14:cfRule>
          <xm:sqref>H4</xm:sqref>
        </x14:conditionalFormatting>
        <x14:conditionalFormatting xmlns:xm="http://schemas.microsoft.com/office/excel/2006/main">
          <x14:cfRule type="containsText" priority="364" operator="containsText" id="{5AB8CA9C-431F-4123-8404-550642FD187B}">
            <xm:f>NOT(ISERROR(SEARCH(Low,F4)))</xm:f>
            <xm:f>Low</xm:f>
            <x14:dxf>
              <font>
                <color rgb="FF9C5700"/>
              </font>
              <fill>
                <patternFill>
                  <bgColor rgb="FFFFEB9C"/>
                </patternFill>
              </fill>
            </x14:dxf>
          </x14:cfRule>
          <xm:sqref>F4</xm:sqref>
        </x14:conditionalFormatting>
        <x14:conditionalFormatting xmlns:xm="http://schemas.microsoft.com/office/excel/2006/main">
          <x14:cfRule type="containsText" priority="359" operator="containsText" id="{4C465796-745E-4EDE-8115-56B2B34B3762}">
            <xm:f>NOT(ISERROR(SEARCH(Low,D4)))</xm:f>
            <xm:f>Low</xm:f>
            <x14:dxf>
              <font>
                <color rgb="FF9C5700"/>
              </font>
              <fill>
                <patternFill>
                  <bgColor rgb="FFFFEB9C"/>
                </patternFill>
              </fill>
            </x14:dxf>
          </x14:cfRule>
          <xm:sqref>D4</xm:sqref>
        </x14:conditionalFormatting>
        <x14:conditionalFormatting xmlns:xm="http://schemas.microsoft.com/office/excel/2006/main">
          <x14:cfRule type="containsText" priority="354" operator="containsText" id="{BEBB0025-2E33-4AC2-95B8-6B76CC51D17A}">
            <xm:f>NOT(ISERROR(SEARCH(Low,C4)))</xm:f>
            <xm:f>Low</xm:f>
            <x14:dxf>
              <font>
                <color rgb="FF9C5700"/>
              </font>
              <fill>
                <patternFill>
                  <bgColor rgb="FFFFEB9C"/>
                </patternFill>
              </fill>
            </x14:dxf>
          </x14:cfRule>
          <xm:sqref>C4</xm:sqref>
        </x14:conditionalFormatting>
        <x14:conditionalFormatting xmlns:xm="http://schemas.microsoft.com/office/excel/2006/main">
          <x14:cfRule type="containsText" priority="349" operator="containsText" id="{4187F55E-F143-41E5-8985-9900E44D94AE}">
            <xm:f>NOT(ISERROR(SEARCH(Low,C5)))</xm:f>
            <xm:f>Low</xm:f>
            <x14:dxf>
              <font>
                <color rgb="FF9C5700"/>
              </font>
              <fill>
                <patternFill>
                  <bgColor rgb="FFFFEB9C"/>
                </patternFill>
              </fill>
            </x14:dxf>
          </x14:cfRule>
          <xm:sqref>C5</xm:sqref>
        </x14:conditionalFormatting>
        <x14:conditionalFormatting xmlns:xm="http://schemas.microsoft.com/office/excel/2006/main">
          <x14:cfRule type="containsText" priority="344" operator="containsText" id="{F54DAFE7-4EAB-45F0-84CC-383E9F62ED6A}">
            <xm:f>NOT(ISERROR(SEARCH(Low,D5)))</xm:f>
            <xm:f>Low</xm:f>
            <x14:dxf>
              <font>
                <color rgb="FF9C5700"/>
              </font>
              <fill>
                <patternFill>
                  <bgColor rgb="FFFFEB9C"/>
                </patternFill>
              </fill>
            </x14:dxf>
          </x14:cfRule>
          <xm:sqref>D5</xm:sqref>
        </x14:conditionalFormatting>
        <x14:conditionalFormatting xmlns:xm="http://schemas.microsoft.com/office/excel/2006/main">
          <x14:cfRule type="containsText" priority="339" operator="containsText" id="{07389AE7-0FE6-40E2-82FC-CF924291F201}">
            <xm:f>NOT(ISERROR(SEARCH(Low,E5)))</xm:f>
            <xm:f>Low</xm:f>
            <x14:dxf>
              <font>
                <color rgb="FF9C5700"/>
              </font>
              <fill>
                <patternFill>
                  <bgColor rgb="FFFFEB9C"/>
                </patternFill>
              </fill>
            </x14:dxf>
          </x14:cfRule>
          <xm:sqref>E5</xm:sqref>
        </x14:conditionalFormatting>
        <x14:conditionalFormatting xmlns:xm="http://schemas.microsoft.com/office/excel/2006/main">
          <x14:cfRule type="containsText" priority="334" operator="containsText" id="{475F863F-8CCE-481B-9BAB-1EF83EBBDACC}">
            <xm:f>NOT(ISERROR(SEARCH(Low,F5)))</xm:f>
            <xm:f>Low</xm:f>
            <x14:dxf>
              <font>
                <color rgb="FF9C5700"/>
              </font>
              <fill>
                <patternFill>
                  <bgColor rgb="FFFFEB9C"/>
                </patternFill>
              </fill>
            </x14:dxf>
          </x14:cfRule>
          <xm:sqref>F5</xm:sqref>
        </x14:conditionalFormatting>
        <x14:conditionalFormatting xmlns:xm="http://schemas.microsoft.com/office/excel/2006/main">
          <x14:cfRule type="containsText" priority="329" operator="containsText" id="{6208A13F-2711-418A-A507-29361F01D70D}">
            <xm:f>NOT(ISERROR(SEARCH(Low,G5)))</xm:f>
            <xm:f>Low</xm:f>
            <x14:dxf>
              <font>
                <color rgb="FF9C5700"/>
              </font>
              <fill>
                <patternFill>
                  <bgColor rgb="FFFFEB9C"/>
                </patternFill>
              </fill>
            </x14:dxf>
          </x14:cfRule>
          <xm:sqref>G5</xm:sqref>
        </x14:conditionalFormatting>
        <x14:conditionalFormatting xmlns:xm="http://schemas.microsoft.com/office/excel/2006/main">
          <x14:cfRule type="containsText" priority="324" operator="containsText" id="{E9069B19-FEE4-46AC-8051-FB0085441F93}">
            <xm:f>NOT(ISERROR(SEARCH(Low,H5)))</xm:f>
            <xm:f>Low</xm:f>
            <x14:dxf>
              <font>
                <color rgb="FF9C5700"/>
              </font>
              <fill>
                <patternFill>
                  <bgColor rgb="FFFFEB9C"/>
                </patternFill>
              </fill>
            </x14:dxf>
          </x14:cfRule>
          <xm:sqref>H5</xm:sqref>
        </x14:conditionalFormatting>
        <x14:conditionalFormatting xmlns:xm="http://schemas.microsoft.com/office/excel/2006/main">
          <x14:cfRule type="containsText" priority="319" operator="containsText" id="{5B93D938-015D-44DB-984C-5DA14A284098}">
            <xm:f>NOT(ISERROR(SEARCH(Low,I5)))</xm:f>
            <xm:f>Low</xm:f>
            <x14:dxf>
              <font>
                <color rgb="FF9C5700"/>
              </font>
              <fill>
                <patternFill>
                  <bgColor rgb="FFFFEB9C"/>
                </patternFill>
              </fill>
            </x14:dxf>
          </x14:cfRule>
          <xm:sqref>I5</xm:sqref>
        </x14:conditionalFormatting>
        <x14:conditionalFormatting xmlns:xm="http://schemas.microsoft.com/office/excel/2006/main">
          <x14:cfRule type="containsText" priority="314" operator="containsText" id="{394B6A81-C4D5-4D6F-885C-118535E09021}">
            <xm:f>NOT(ISERROR(SEARCH(Low,J5)))</xm:f>
            <xm:f>Low</xm:f>
            <x14:dxf>
              <font>
                <color rgb="FF9C5700"/>
              </font>
              <fill>
                <patternFill>
                  <bgColor rgb="FFFFEB9C"/>
                </patternFill>
              </fill>
            </x14:dxf>
          </x14:cfRule>
          <xm:sqref>J5</xm:sqref>
        </x14:conditionalFormatting>
        <x14:conditionalFormatting xmlns:xm="http://schemas.microsoft.com/office/excel/2006/main">
          <x14:cfRule type="containsText" priority="309" operator="containsText" id="{F943F0D6-DB78-4395-B428-C52E7A09E565}">
            <xm:f>NOT(ISERROR(SEARCH(Low,K5)))</xm:f>
            <xm:f>Low</xm:f>
            <x14:dxf>
              <font>
                <color rgb="FF9C5700"/>
              </font>
              <fill>
                <patternFill>
                  <bgColor rgb="FFFFEB9C"/>
                </patternFill>
              </fill>
            </x14:dxf>
          </x14:cfRule>
          <xm:sqref>K5</xm:sqref>
        </x14:conditionalFormatting>
        <x14:conditionalFormatting xmlns:xm="http://schemas.microsoft.com/office/excel/2006/main">
          <x14:cfRule type="containsText" priority="304" operator="containsText" id="{03A63676-FEC2-46D3-A620-B71DE3CE7C5C}">
            <xm:f>NOT(ISERROR(SEARCH(Low,J6)))</xm:f>
            <xm:f>Low</xm:f>
            <x14:dxf>
              <font>
                <color rgb="FF9C5700"/>
              </font>
              <fill>
                <patternFill>
                  <bgColor rgb="FFFFEB9C"/>
                </patternFill>
              </fill>
            </x14:dxf>
          </x14:cfRule>
          <xm:sqref>J6</xm:sqref>
        </x14:conditionalFormatting>
        <x14:conditionalFormatting xmlns:xm="http://schemas.microsoft.com/office/excel/2006/main">
          <x14:cfRule type="containsText" priority="299" operator="containsText" id="{14709607-013C-4DD4-9159-16962F044545}">
            <xm:f>NOT(ISERROR(SEARCH(Low,H6)))</xm:f>
            <xm:f>Low</xm:f>
            <x14:dxf>
              <font>
                <color rgb="FF9C5700"/>
              </font>
              <fill>
                <patternFill>
                  <bgColor rgb="FFFFEB9C"/>
                </patternFill>
              </fill>
            </x14:dxf>
          </x14:cfRule>
          <xm:sqref>H6</xm:sqref>
        </x14:conditionalFormatting>
        <x14:conditionalFormatting xmlns:xm="http://schemas.microsoft.com/office/excel/2006/main">
          <x14:cfRule type="containsText" priority="294" operator="containsText" id="{C55B5CA4-8C57-4E3C-841D-76D1859774C3}">
            <xm:f>NOT(ISERROR(SEARCH(Low,F6)))</xm:f>
            <xm:f>Low</xm:f>
            <x14:dxf>
              <font>
                <color rgb="FF9C5700"/>
              </font>
              <fill>
                <patternFill>
                  <bgColor rgb="FFFFEB9C"/>
                </patternFill>
              </fill>
            </x14:dxf>
          </x14:cfRule>
          <xm:sqref>F6</xm:sqref>
        </x14:conditionalFormatting>
        <x14:conditionalFormatting xmlns:xm="http://schemas.microsoft.com/office/excel/2006/main">
          <x14:cfRule type="containsText" priority="289" operator="containsText" id="{B5FB0B92-3DBE-4382-A3EB-1587F3EE806D}">
            <xm:f>NOT(ISERROR(SEARCH(Low,D6)))</xm:f>
            <xm:f>Low</xm:f>
            <x14:dxf>
              <font>
                <color rgb="FF9C5700"/>
              </font>
              <fill>
                <patternFill>
                  <bgColor rgb="FFFFEB9C"/>
                </patternFill>
              </fill>
            </x14:dxf>
          </x14:cfRule>
          <xm:sqref>D6</xm:sqref>
        </x14:conditionalFormatting>
        <x14:conditionalFormatting xmlns:xm="http://schemas.microsoft.com/office/excel/2006/main">
          <x14:cfRule type="containsText" priority="284" operator="containsText" id="{0491CED1-6132-4C71-B938-0231FD9D1CB4}">
            <xm:f>NOT(ISERROR(SEARCH(Low,C6)))</xm:f>
            <xm:f>Low</xm:f>
            <x14:dxf>
              <font>
                <color rgb="FF9C5700"/>
              </font>
              <fill>
                <patternFill>
                  <bgColor rgb="FFFFEB9C"/>
                </patternFill>
              </fill>
            </x14:dxf>
          </x14:cfRule>
          <xm:sqref>C6</xm:sqref>
        </x14:conditionalFormatting>
        <x14:conditionalFormatting xmlns:xm="http://schemas.microsoft.com/office/excel/2006/main">
          <x14:cfRule type="containsText" priority="279" operator="containsText" id="{568D8086-309A-4648-9F3F-77037FEFB8F6}">
            <xm:f>NOT(ISERROR(SEARCH(Low,C7)))</xm:f>
            <xm:f>Low</xm:f>
            <x14:dxf>
              <font>
                <color rgb="FF9C5700"/>
              </font>
              <fill>
                <patternFill>
                  <bgColor rgb="FFFFEB9C"/>
                </patternFill>
              </fill>
            </x14:dxf>
          </x14:cfRule>
          <xm:sqref>C7</xm:sqref>
        </x14:conditionalFormatting>
        <x14:conditionalFormatting xmlns:xm="http://schemas.microsoft.com/office/excel/2006/main">
          <x14:cfRule type="containsText" priority="274" operator="containsText" id="{14B25EE1-56DA-4745-84B8-12BBF60D8170}">
            <xm:f>NOT(ISERROR(SEARCH(Low,D7)))</xm:f>
            <xm:f>Low</xm:f>
            <x14:dxf>
              <font>
                <color rgb="FF9C5700"/>
              </font>
              <fill>
                <patternFill>
                  <bgColor rgb="FFFFEB9C"/>
                </patternFill>
              </fill>
            </x14:dxf>
          </x14:cfRule>
          <xm:sqref>D7</xm:sqref>
        </x14:conditionalFormatting>
        <x14:conditionalFormatting xmlns:xm="http://schemas.microsoft.com/office/excel/2006/main">
          <x14:cfRule type="containsText" priority="269" operator="containsText" id="{F2DEB454-E440-4A27-8845-D552D9F76E98}">
            <xm:f>NOT(ISERROR(SEARCH(Low,E7)))</xm:f>
            <xm:f>Low</xm:f>
            <x14:dxf>
              <font>
                <color rgb="FF9C5700"/>
              </font>
              <fill>
                <patternFill>
                  <bgColor rgb="FFFFEB9C"/>
                </patternFill>
              </fill>
            </x14:dxf>
          </x14:cfRule>
          <xm:sqref>E7</xm:sqref>
        </x14:conditionalFormatting>
        <x14:conditionalFormatting xmlns:xm="http://schemas.microsoft.com/office/excel/2006/main">
          <x14:cfRule type="containsText" priority="264" operator="containsText" id="{F337D1EE-E1CE-4567-95EC-AA875CA3F3DA}">
            <xm:f>NOT(ISERROR(SEARCH(Low,F7)))</xm:f>
            <xm:f>Low</xm:f>
            <x14:dxf>
              <font>
                <color rgb="FF9C5700"/>
              </font>
              <fill>
                <patternFill>
                  <bgColor rgb="FFFFEB9C"/>
                </patternFill>
              </fill>
            </x14:dxf>
          </x14:cfRule>
          <xm:sqref>F7</xm:sqref>
        </x14:conditionalFormatting>
        <x14:conditionalFormatting xmlns:xm="http://schemas.microsoft.com/office/excel/2006/main">
          <x14:cfRule type="containsText" priority="259" operator="containsText" id="{9F139A2F-5160-4812-BD0A-735FC9A20165}">
            <xm:f>NOT(ISERROR(SEARCH(Low,G7)))</xm:f>
            <xm:f>Low</xm:f>
            <x14:dxf>
              <font>
                <color rgb="FF9C5700"/>
              </font>
              <fill>
                <patternFill>
                  <bgColor rgb="FFFFEB9C"/>
                </patternFill>
              </fill>
            </x14:dxf>
          </x14:cfRule>
          <xm:sqref>G7</xm:sqref>
        </x14:conditionalFormatting>
        <x14:conditionalFormatting xmlns:xm="http://schemas.microsoft.com/office/excel/2006/main">
          <x14:cfRule type="containsText" priority="254" operator="containsText" id="{7751C997-BF04-4989-994F-7BA47631EBE7}">
            <xm:f>NOT(ISERROR(SEARCH(Low,H7)))</xm:f>
            <xm:f>Low</xm:f>
            <x14:dxf>
              <font>
                <color rgb="FF9C5700"/>
              </font>
              <fill>
                <patternFill>
                  <bgColor rgb="FFFFEB9C"/>
                </patternFill>
              </fill>
            </x14:dxf>
          </x14:cfRule>
          <xm:sqref>H7</xm:sqref>
        </x14:conditionalFormatting>
        <x14:conditionalFormatting xmlns:xm="http://schemas.microsoft.com/office/excel/2006/main">
          <x14:cfRule type="containsText" priority="249" operator="containsText" id="{0FDF140E-89D7-4821-90DC-95DA6A3FC7B5}">
            <xm:f>NOT(ISERROR(SEARCH(Low,I7)))</xm:f>
            <xm:f>Low</xm:f>
            <x14:dxf>
              <font>
                <color rgb="FF9C5700"/>
              </font>
              <fill>
                <patternFill>
                  <bgColor rgb="FFFFEB9C"/>
                </patternFill>
              </fill>
            </x14:dxf>
          </x14:cfRule>
          <xm:sqref>I7</xm:sqref>
        </x14:conditionalFormatting>
        <x14:conditionalFormatting xmlns:xm="http://schemas.microsoft.com/office/excel/2006/main">
          <x14:cfRule type="containsText" priority="244" operator="containsText" id="{3D914811-5136-4725-A9C9-FCBDEBF3DD2F}">
            <xm:f>NOT(ISERROR(SEARCH(Low,J7)))</xm:f>
            <xm:f>Low</xm:f>
            <x14:dxf>
              <font>
                <color rgb="FF9C5700"/>
              </font>
              <fill>
                <patternFill>
                  <bgColor rgb="FFFFEB9C"/>
                </patternFill>
              </fill>
            </x14:dxf>
          </x14:cfRule>
          <xm:sqref>J7</xm:sqref>
        </x14:conditionalFormatting>
        <x14:conditionalFormatting xmlns:xm="http://schemas.microsoft.com/office/excel/2006/main">
          <x14:cfRule type="containsText" priority="239" operator="containsText" id="{395DFE47-932C-4767-8C72-384413B29AB8}">
            <xm:f>NOT(ISERROR(SEARCH(Low,K7)))</xm:f>
            <xm:f>Low</xm:f>
            <x14:dxf>
              <font>
                <color rgb="FF9C5700"/>
              </font>
              <fill>
                <patternFill>
                  <bgColor rgb="FFFFEB9C"/>
                </patternFill>
              </fill>
            </x14:dxf>
          </x14:cfRule>
          <xm:sqref>K7</xm:sqref>
        </x14:conditionalFormatting>
        <x14:conditionalFormatting xmlns:xm="http://schemas.microsoft.com/office/excel/2006/main">
          <x14:cfRule type="containsText" priority="234" operator="containsText" id="{809EFA6D-F047-4A91-8257-23AF3A44A213}">
            <xm:f>NOT(ISERROR(SEARCH(Low,L7)))</xm:f>
            <xm:f>Low</xm:f>
            <x14:dxf>
              <font>
                <color rgb="FF9C5700"/>
              </font>
              <fill>
                <patternFill>
                  <bgColor rgb="FFFFEB9C"/>
                </patternFill>
              </fill>
            </x14:dxf>
          </x14:cfRule>
          <xm:sqref>L7</xm:sqref>
        </x14:conditionalFormatting>
        <x14:conditionalFormatting xmlns:xm="http://schemas.microsoft.com/office/excel/2006/main">
          <x14:cfRule type="containsText" priority="229" operator="containsText" id="{7AC91C9A-2F70-4F82-AF89-6A6DC95973E5}">
            <xm:f>NOT(ISERROR(SEARCH(Low,M7)))</xm:f>
            <xm:f>Low</xm:f>
            <x14:dxf>
              <font>
                <color rgb="FF9C5700"/>
              </font>
              <fill>
                <patternFill>
                  <bgColor rgb="FFFFEB9C"/>
                </patternFill>
              </fill>
            </x14:dxf>
          </x14:cfRule>
          <xm:sqref>M7</xm:sqref>
        </x14:conditionalFormatting>
        <x14:conditionalFormatting xmlns:xm="http://schemas.microsoft.com/office/excel/2006/main">
          <x14:cfRule type="containsText" priority="224" operator="containsText" id="{87BF72BB-A1AB-4465-8080-358839358A54}">
            <xm:f>NOT(ISERROR(SEARCH(Low,J8)))</xm:f>
            <xm:f>Low</xm:f>
            <x14:dxf>
              <font>
                <color rgb="FF9C5700"/>
              </font>
              <fill>
                <patternFill>
                  <bgColor rgb="FFFFEB9C"/>
                </patternFill>
              </fill>
            </x14:dxf>
          </x14:cfRule>
          <xm:sqref>J8</xm:sqref>
        </x14:conditionalFormatting>
        <x14:conditionalFormatting xmlns:xm="http://schemas.microsoft.com/office/excel/2006/main">
          <x14:cfRule type="containsText" priority="219" operator="containsText" id="{D1B5E491-F3E2-4F61-BC31-8146C33EA851}">
            <xm:f>NOT(ISERROR(SEARCH(Low,H8)))</xm:f>
            <xm:f>Low</xm:f>
            <x14:dxf>
              <font>
                <color rgb="FF9C5700"/>
              </font>
              <fill>
                <patternFill>
                  <bgColor rgb="FFFFEB9C"/>
                </patternFill>
              </fill>
            </x14:dxf>
          </x14:cfRule>
          <xm:sqref>H8</xm:sqref>
        </x14:conditionalFormatting>
        <x14:conditionalFormatting xmlns:xm="http://schemas.microsoft.com/office/excel/2006/main">
          <x14:cfRule type="containsText" priority="214" operator="containsText" id="{6A539135-4674-45BB-A336-E6BA63D13C65}">
            <xm:f>NOT(ISERROR(SEARCH(Low,F8)))</xm:f>
            <xm:f>Low</xm:f>
            <x14:dxf>
              <font>
                <color rgb="FF9C5700"/>
              </font>
              <fill>
                <patternFill>
                  <bgColor rgb="FFFFEB9C"/>
                </patternFill>
              </fill>
            </x14:dxf>
          </x14:cfRule>
          <xm:sqref>F8</xm:sqref>
        </x14:conditionalFormatting>
        <x14:conditionalFormatting xmlns:xm="http://schemas.microsoft.com/office/excel/2006/main">
          <x14:cfRule type="containsText" priority="209" operator="containsText" id="{260B557E-68F7-47D8-A9FC-A555C2000B2A}">
            <xm:f>NOT(ISERROR(SEARCH(Low,C8)))</xm:f>
            <xm:f>Low</xm:f>
            <x14:dxf>
              <font>
                <color rgb="FF9C5700"/>
              </font>
              <fill>
                <patternFill>
                  <bgColor rgb="FFFFEB9C"/>
                </patternFill>
              </fill>
            </x14:dxf>
          </x14:cfRule>
          <xm:sqref>C8</xm:sqref>
        </x14:conditionalFormatting>
        <x14:conditionalFormatting xmlns:xm="http://schemas.microsoft.com/office/excel/2006/main">
          <x14:cfRule type="containsText" priority="204" operator="containsText" id="{28EE685C-3AD2-4530-8C05-D936D1171B89}">
            <xm:f>NOT(ISERROR(SEARCH(Low,D8)))</xm:f>
            <xm:f>Low</xm:f>
            <x14:dxf>
              <font>
                <color rgb="FF9C5700"/>
              </font>
              <fill>
                <patternFill>
                  <bgColor rgb="FFFFEB9C"/>
                </patternFill>
              </fill>
            </x14:dxf>
          </x14:cfRule>
          <xm:sqref>D8</xm:sqref>
        </x14:conditionalFormatting>
        <x14:conditionalFormatting xmlns:xm="http://schemas.microsoft.com/office/excel/2006/main">
          <x14:cfRule type="containsText" priority="199" operator="containsText" id="{F19E6798-FB97-4AD2-AA07-29B8C7941AF8}">
            <xm:f>NOT(ISERROR(SEARCH(Low,C9)))</xm:f>
            <xm:f>Low</xm:f>
            <x14:dxf>
              <font>
                <color rgb="FF9C5700"/>
              </font>
              <fill>
                <patternFill>
                  <bgColor rgb="FFFFEB9C"/>
                </patternFill>
              </fill>
            </x14:dxf>
          </x14:cfRule>
          <xm:sqref>C9</xm:sqref>
        </x14:conditionalFormatting>
        <x14:conditionalFormatting xmlns:xm="http://schemas.microsoft.com/office/excel/2006/main">
          <x14:cfRule type="containsText" priority="194" operator="containsText" id="{66102E62-7BEA-4F8D-81C2-F4E93A160B9B}">
            <xm:f>NOT(ISERROR(SEARCH(Low,D9)))</xm:f>
            <xm:f>Low</xm:f>
            <x14:dxf>
              <font>
                <color rgb="FF9C5700"/>
              </font>
              <fill>
                <patternFill>
                  <bgColor rgb="FFFFEB9C"/>
                </patternFill>
              </fill>
            </x14:dxf>
          </x14:cfRule>
          <xm:sqref>D9</xm:sqref>
        </x14:conditionalFormatting>
        <x14:conditionalFormatting xmlns:xm="http://schemas.microsoft.com/office/excel/2006/main">
          <x14:cfRule type="containsText" priority="189" operator="containsText" id="{2700DAD6-D78B-4DAB-B41F-9068982C5D70}">
            <xm:f>NOT(ISERROR(SEARCH(Low,E9)))</xm:f>
            <xm:f>Low</xm:f>
            <x14:dxf>
              <font>
                <color rgb="FF9C5700"/>
              </font>
              <fill>
                <patternFill>
                  <bgColor rgb="FFFFEB9C"/>
                </patternFill>
              </fill>
            </x14:dxf>
          </x14:cfRule>
          <xm:sqref>E9</xm:sqref>
        </x14:conditionalFormatting>
        <x14:conditionalFormatting xmlns:xm="http://schemas.microsoft.com/office/excel/2006/main">
          <x14:cfRule type="containsText" priority="184" operator="containsText" id="{2213A674-B941-433F-9886-4F884F78ACC1}">
            <xm:f>NOT(ISERROR(SEARCH(Low,F9)))</xm:f>
            <xm:f>Low</xm:f>
            <x14:dxf>
              <font>
                <color rgb="FF9C5700"/>
              </font>
              <fill>
                <patternFill>
                  <bgColor rgb="FFFFEB9C"/>
                </patternFill>
              </fill>
            </x14:dxf>
          </x14:cfRule>
          <xm:sqref>F9</xm:sqref>
        </x14:conditionalFormatting>
        <x14:conditionalFormatting xmlns:xm="http://schemas.microsoft.com/office/excel/2006/main">
          <x14:cfRule type="containsText" priority="179" operator="containsText" id="{473F7425-7A59-4886-9AE6-15A43D669532}">
            <xm:f>NOT(ISERROR(SEARCH(Low,G9)))</xm:f>
            <xm:f>Low</xm:f>
            <x14:dxf>
              <font>
                <color rgb="FF9C5700"/>
              </font>
              <fill>
                <patternFill>
                  <bgColor rgb="FFFFEB9C"/>
                </patternFill>
              </fill>
            </x14:dxf>
          </x14:cfRule>
          <xm:sqref>G9</xm:sqref>
        </x14:conditionalFormatting>
        <x14:conditionalFormatting xmlns:xm="http://schemas.microsoft.com/office/excel/2006/main">
          <x14:cfRule type="containsText" priority="174" operator="containsText" id="{C89CB7AA-CF22-4B5D-BCB7-94A0445A0121}">
            <xm:f>NOT(ISERROR(SEARCH(Low,H9)))</xm:f>
            <xm:f>Low</xm:f>
            <x14:dxf>
              <font>
                <color rgb="FF9C5700"/>
              </font>
              <fill>
                <patternFill>
                  <bgColor rgb="FFFFEB9C"/>
                </patternFill>
              </fill>
            </x14:dxf>
          </x14:cfRule>
          <xm:sqref>H9</xm:sqref>
        </x14:conditionalFormatting>
        <x14:conditionalFormatting xmlns:xm="http://schemas.microsoft.com/office/excel/2006/main">
          <x14:cfRule type="containsText" priority="169" operator="containsText" id="{1F32F992-AFDA-4697-B81F-26FADF6A00C0}">
            <xm:f>NOT(ISERROR(SEARCH(Low,I9)))</xm:f>
            <xm:f>Low</xm:f>
            <x14:dxf>
              <font>
                <color rgb="FF9C5700"/>
              </font>
              <fill>
                <patternFill>
                  <bgColor rgb="FFFFEB9C"/>
                </patternFill>
              </fill>
            </x14:dxf>
          </x14:cfRule>
          <xm:sqref>I9</xm:sqref>
        </x14:conditionalFormatting>
        <x14:conditionalFormatting xmlns:xm="http://schemas.microsoft.com/office/excel/2006/main">
          <x14:cfRule type="containsText" priority="164" operator="containsText" id="{D039F466-5887-48E9-A431-0A81E8E36E4A}">
            <xm:f>NOT(ISERROR(SEARCH(Low,J9)))</xm:f>
            <xm:f>Low</xm:f>
            <x14:dxf>
              <font>
                <color rgb="FF9C5700"/>
              </font>
              <fill>
                <patternFill>
                  <bgColor rgb="FFFFEB9C"/>
                </patternFill>
              </fill>
            </x14:dxf>
          </x14:cfRule>
          <xm:sqref>J9</xm:sqref>
        </x14:conditionalFormatting>
        <x14:conditionalFormatting xmlns:xm="http://schemas.microsoft.com/office/excel/2006/main">
          <x14:cfRule type="containsText" priority="159" operator="containsText" id="{E95BBE0A-73EF-431D-A6E0-985A41835F17}">
            <xm:f>NOT(ISERROR(SEARCH(Low,K9)))</xm:f>
            <xm:f>Low</xm:f>
            <x14:dxf>
              <font>
                <color rgb="FF9C5700"/>
              </font>
              <fill>
                <patternFill>
                  <bgColor rgb="FFFFEB9C"/>
                </patternFill>
              </fill>
            </x14:dxf>
          </x14:cfRule>
          <xm:sqref>K9</xm:sqref>
        </x14:conditionalFormatting>
        <x14:conditionalFormatting xmlns:xm="http://schemas.microsoft.com/office/excel/2006/main">
          <x14:cfRule type="containsText" priority="154" operator="containsText" id="{81A273AA-525E-4550-A698-899708F898F9}">
            <xm:f>NOT(ISERROR(SEARCH(Low,L9)))</xm:f>
            <xm:f>Low</xm:f>
            <x14:dxf>
              <font>
                <color rgb="FF9C5700"/>
              </font>
              <fill>
                <patternFill>
                  <bgColor rgb="FFFFEB9C"/>
                </patternFill>
              </fill>
            </x14:dxf>
          </x14:cfRule>
          <xm:sqref>L9</xm:sqref>
        </x14:conditionalFormatting>
        <x14:conditionalFormatting xmlns:xm="http://schemas.microsoft.com/office/excel/2006/main">
          <x14:cfRule type="containsText" priority="149" operator="containsText" id="{BC45F7C3-4D18-488F-890B-A387D1B4C523}">
            <xm:f>NOT(ISERROR(SEARCH(Low,M9)))</xm:f>
            <xm:f>Low</xm:f>
            <x14:dxf>
              <font>
                <color rgb="FF9C5700"/>
              </font>
              <fill>
                <patternFill>
                  <bgColor rgb="FFFFEB9C"/>
                </patternFill>
              </fill>
            </x14:dxf>
          </x14:cfRule>
          <xm:sqref>M9</xm:sqref>
        </x14:conditionalFormatting>
        <x14:conditionalFormatting xmlns:xm="http://schemas.microsoft.com/office/excel/2006/main">
          <x14:cfRule type="containsText" priority="144" operator="containsText" id="{2FBC0285-0969-46B4-9ECC-CEAA6C06C931}">
            <xm:f>NOT(ISERROR(SEARCH(Low,L10)))</xm:f>
            <xm:f>Low</xm:f>
            <x14:dxf>
              <font>
                <color rgb="FF9C5700"/>
              </font>
              <fill>
                <patternFill>
                  <bgColor rgb="FFFFEB9C"/>
                </patternFill>
              </fill>
            </x14:dxf>
          </x14:cfRule>
          <xm:sqref>L10</xm:sqref>
        </x14:conditionalFormatting>
        <x14:conditionalFormatting xmlns:xm="http://schemas.microsoft.com/office/excel/2006/main">
          <x14:cfRule type="containsText" priority="139" operator="containsText" id="{EABA0A0B-1881-4DA0-814E-6E9453FC324C}">
            <xm:f>NOT(ISERROR(SEARCH(Low,J10)))</xm:f>
            <xm:f>Low</xm:f>
            <x14:dxf>
              <font>
                <color rgb="FF9C5700"/>
              </font>
              <fill>
                <patternFill>
                  <bgColor rgb="FFFFEB9C"/>
                </patternFill>
              </fill>
            </x14:dxf>
          </x14:cfRule>
          <xm:sqref>J10</xm:sqref>
        </x14:conditionalFormatting>
        <x14:conditionalFormatting xmlns:xm="http://schemas.microsoft.com/office/excel/2006/main">
          <x14:cfRule type="containsText" priority="134" operator="containsText" id="{1E416A63-6942-4064-A0F6-315AF59F9C36}">
            <xm:f>NOT(ISERROR(SEARCH(Low,H10)))</xm:f>
            <xm:f>Low</xm:f>
            <x14:dxf>
              <font>
                <color rgb="FF9C5700"/>
              </font>
              <fill>
                <patternFill>
                  <bgColor rgb="FFFFEB9C"/>
                </patternFill>
              </fill>
            </x14:dxf>
          </x14:cfRule>
          <xm:sqref>H10</xm:sqref>
        </x14:conditionalFormatting>
        <x14:conditionalFormatting xmlns:xm="http://schemas.microsoft.com/office/excel/2006/main">
          <x14:cfRule type="containsText" priority="129" operator="containsText" id="{9E425C06-CEE3-44C3-9120-2FAAA1C0D30B}">
            <xm:f>NOT(ISERROR(SEARCH(Low,F10)))</xm:f>
            <xm:f>Low</xm:f>
            <x14:dxf>
              <font>
                <color rgb="FF9C5700"/>
              </font>
              <fill>
                <patternFill>
                  <bgColor rgb="FFFFEB9C"/>
                </patternFill>
              </fill>
            </x14:dxf>
          </x14:cfRule>
          <xm:sqref>F10</xm:sqref>
        </x14:conditionalFormatting>
        <x14:conditionalFormatting xmlns:xm="http://schemas.microsoft.com/office/excel/2006/main">
          <x14:cfRule type="containsText" priority="124" operator="containsText" id="{103C9191-1506-470B-A6BC-0795B3B49414}">
            <xm:f>NOT(ISERROR(SEARCH(Low,D10)))</xm:f>
            <xm:f>Low</xm:f>
            <x14:dxf>
              <font>
                <color rgb="FF9C5700"/>
              </font>
              <fill>
                <patternFill>
                  <bgColor rgb="FFFFEB9C"/>
                </patternFill>
              </fill>
            </x14:dxf>
          </x14:cfRule>
          <xm:sqref>D10</xm:sqref>
        </x14:conditionalFormatting>
        <x14:conditionalFormatting xmlns:xm="http://schemas.microsoft.com/office/excel/2006/main">
          <x14:cfRule type="containsText" priority="119" operator="containsText" id="{8CA02CE4-1221-45FC-94B9-6EFCFFCFDC80}">
            <xm:f>NOT(ISERROR(SEARCH(Low,C10)))</xm:f>
            <xm:f>Low</xm:f>
            <x14:dxf>
              <font>
                <color rgb="FF9C5700"/>
              </font>
              <fill>
                <patternFill>
                  <bgColor rgb="FFFFEB9C"/>
                </patternFill>
              </fill>
            </x14:dxf>
          </x14:cfRule>
          <xm:sqref>C10</xm:sqref>
        </x14:conditionalFormatting>
        <x14:conditionalFormatting xmlns:xm="http://schemas.microsoft.com/office/excel/2006/main">
          <x14:cfRule type="containsText" priority="114" operator="containsText" id="{6C7EF5F8-72B1-491F-801F-101F2562B5EC}">
            <xm:f>NOT(ISERROR(SEARCH(Low,C11)))</xm:f>
            <xm:f>Low</xm:f>
            <x14:dxf>
              <font>
                <color rgb="FF9C5700"/>
              </font>
              <fill>
                <patternFill>
                  <bgColor rgb="FFFFEB9C"/>
                </patternFill>
              </fill>
            </x14:dxf>
          </x14:cfRule>
          <xm:sqref>C11</xm:sqref>
        </x14:conditionalFormatting>
        <x14:conditionalFormatting xmlns:xm="http://schemas.microsoft.com/office/excel/2006/main">
          <x14:cfRule type="containsText" priority="109" operator="containsText" id="{61C0C7ED-9006-4054-BA7C-C3BEC295A226}">
            <xm:f>NOT(ISERROR(SEARCH(Low,D11)))</xm:f>
            <xm:f>Low</xm:f>
            <x14:dxf>
              <font>
                <color rgb="FF9C5700"/>
              </font>
              <fill>
                <patternFill>
                  <bgColor rgb="FFFFEB9C"/>
                </patternFill>
              </fill>
            </x14:dxf>
          </x14:cfRule>
          <xm:sqref>D11</xm:sqref>
        </x14:conditionalFormatting>
        <x14:conditionalFormatting xmlns:xm="http://schemas.microsoft.com/office/excel/2006/main">
          <x14:cfRule type="containsText" priority="104" operator="containsText" id="{77F49F88-D88E-46DF-81E8-1EB9BB683144}">
            <xm:f>NOT(ISERROR(SEARCH(Low,E11)))</xm:f>
            <xm:f>Low</xm:f>
            <x14:dxf>
              <font>
                <color rgb="FF9C5700"/>
              </font>
              <fill>
                <patternFill>
                  <bgColor rgb="FFFFEB9C"/>
                </patternFill>
              </fill>
            </x14:dxf>
          </x14:cfRule>
          <xm:sqref>E11</xm:sqref>
        </x14:conditionalFormatting>
        <x14:conditionalFormatting xmlns:xm="http://schemas.microsoft.com/office/excel/2006/main">
          <x14:cfRule type="containsText" priority="99" operator="containsText" id="{3C14D49F-5653-4759-B0A0-1C477E1D1720}">
            <xm:f>NOT(ISERROR(SEARCH(Low,F11)))</xm:f>
            <xm:f>Low</xm:f>
            <x14:dxf>
              <font>
                <color rgb="FF9C5700"/>
              </font>
              <fill>
                <patternFill>
                  <bgColor rgb="FFFFEB9C"/>
                </patternFill>
              </fill>
            </x14:dxf>
          </x14:cfRule>
          <xm:sqref>F11</xm:sqref>
        </x14:conditionalFormatting>
        <x14:conditionalFormatting xmlns:xm="http://schemas.microsoft.com/office/excel/2006/main">
          <x14:cfRule type="containsText" priority="94" operator="containsText" id="{201F0996-3498-443E-B696-81DF2A307769}">
            <xm:f>NOT(ISERROR(SEARCH(Low,G11)))</xm:f>
            <xm:f>Low</xm:f>
            <x14:dxf>
              <font>
                <color rgb="FF9C5700"/>
              </font>
              <fill>
                <patternFill>
                  <bgColor rgb="FFFFEB9C"/>
                </patternFill>
              </fill>
            </x14:dxf>
          </x14:cfRule>
          <xm:sqref>G11</xm:sqref>
        </x14:conditionalFormatting>
        <x14:conditionalFormatting xmlns:xm="http://schemas.microsoft.com/office/excel/2006/main">
          <x14:cfRule type="containsText" priority="89" operator="containsText" id="{8BBEBF2D-EEFA-4194-86E5-4A416780AB5B}">
            <xm:f>NOT(ISERROR(SEARCH(Low,H11)))</xm:f>
            <xm:f>Low</xm:f>
            <x14:dxf>
              <font>
                <color rgb="FF9C5700"/>
              </font>
              <fill>
                <patternFill>
                  <bgColor rgb="FFFFEB9C"/>
                </patternFill>
              </fill>
            </x14:dxf>
          </x14:cfRule>
          <xm:sqref>H11</xm:sqref>
        </x14:conditionalFormatting>
        <x14:conditionalFormatting xmlns:xm="http://schemas.microsoft.com/office/excel/2006/main">
          <x14:cfRule type="containsText" priority="84" operator="containsText" id="{36F321D2-921F-4142-83A0-5CA3B4B5B3DB}">
            <xm:f>NOT(ISERROR(SEARCH(Low,I11)))</xm:f>
            <xm:f>Low</xm:f>
            <x14:dxf>
              <font>
                <color rgb="FF9C5700"/>
              </font>
              <fill>
                <patternFill>
                  <bgColor rgb="FFFFEB9C"/>
                </patternFill>
              </fill>
            </x14:dxf>
          </x14:cfRule>
          <xm:sqref>I11</xm:sqref>
        </x14:conditionalFormatting>
        <x14:conditionalFormatting xmlns:xm="http://schemas.microsoft.com/office/excel/2006/main">
          <x14:cfRule type="containsText" priority="79" operator="containsText" id="{788C59E3-2444-426A-B889-D4B90486C1ED}">
            <xm:f>NOT(ISERROR(SEARCH(Low,J11)))</xm:f>
            <xm:f>Low</xm:f>
            <x14:dxf>
              <font>
                <color rgb="FF9C5700"/>
              </font>
              <fill>
                <patternFill>
                  <bgColor rgb="FFFFEB9C"/>
                </patternFill>
              </fill>
            </x14:dxf>
          </x14:cfRule>
          <xm:sqref>J11</xm:sqref>
        </x14:conditionalFormatting>
        <x14:conditionalFormatting xmlns:xm="http://schemas.microsoft.com/office/excel/2006/main">
          <x14:cfRule type="containsText" priority="74" operator="containsText" id="{FC2DE9C2-CB90-4DCC-A8BE-A2FA15D81F8C}">
            <xm:f>NOT(ISERROR(SEARCH(Low,K11)))</xm:f>
            <xm:f>Low</xm:f>
            <x14:dxf>
              <font>
                <color rgb="FF9C5700"/>
              </font>
              <fill>
                <patternFill>
                  <bgColor rgb="FFFFEB9C"/>
                </patternFill>
              </fill>
            </x14:dxf>
          </x14:cfRule>
          <xm:sqref>K11</xm:sqref>
        </x14:conditionalFormatting>
        <x14:conditionalFormatting xmlns:xm="http://schemas.microsoft.com/office/excel/2006/main">
          <x14:cfRule type="containsText" priority="69" operator="containsText" id="{9965B584-05CF-40A3-80C7-0ABDF80E10B7}">
            <xm:f>NOT(ISERROR(SEARCH(Low,L11)))</xm:f>
            <xm:f>Low</xm:f>
            <x14:dxf>
              <font>
                <color rgb="FF9C5700"/>
              </font>
              <fill>
                <patternFill>
                  <bgColor rgb="FFFFEB9C"/>
                </patternFill>
              </fill>
            </x14:dxf>
          </x14:cfRule>
          <xm:sqref>L11</xm:sqref>
        </x14:conditionalFormatting>
        <x14:conditionalFormatting xmlns:xm="http://schemas.microsoft.com/office/excel/2006/main">
          <x14:cfRule type="containsText" priority="64" operator="containsText" id="{49D35DD9-9E6A-48DC-8548-7269DFDB906F}">
            <xm:f>NOT(ISERROR(SEARCH(Low,M11)))</xm:f>
            <xm:f>Low</xm:f>
            <x14:dxf>
              <font>
                <color rgb="FF9C5700"/>
              </font>
              <fill>
                <patternFill>
                  <bgColor rgb="FFFFEB9C"/>
                </patternFill>
              </fill>
            </x14:dxf>
          </x14:cfRule>
          <xm:sqref>M11</xm:sqref>
        </x14:conditionalFormatting>
        <x14:conditionalFormatting xmlns:xm="http://schemas.microsoft.com/office/excel/2006/main">
          <x14:cfRule type="containsText" priority="59" operator="containsText" id="{94DAAE5C-00B9-4FC6-B4A1-BE62975ED605}">
            <xm:f>NOT(ISERROR(SEARCH(Low,L12)))</xm:f>
            <xm:f>Low</xm:f>
            <x14:dxf>
              <font>
                <color rgb="FF9C5700"/>
              </font>
              <fill>
                <patternFill>
                  <bgColor rgb="FFFFEB9C"/>
                </patternFill>
              </fill>
            </x14:dxf>
          </x14:cfRule>
          <xm:sqref>L12</xm:sqref>
        </x14:conditionalFormatting>
        <x14:conditionalFormatting xmlns:xm="http://schemas.microsoft.com/office/excel/2006/main">
          <x14:cfRule type="containsText" priority="54" operator="containsText" id="{9D90BA20-7A0D-49EA-BD87-F22D41BBD634}">
            <xm:f>NOT(ISERROR(SEARCH(Low,L13)))</xm:f>
            <xm:f>Low</xm:f>
            <x14:dxf>
              <font>
                <color rgb="FF9C5700"/>
              </font>
              <fill>
                <patternFill>
                  <bgColor rgb="FFFFEB9C"/>
                </patternFill>
              </fill>
            </x14:dxf>
          </x14:cfRule>
          <xm:sqref>L13</xm:sqref>
        </x14:conditionalFormatting>
        <x14:conditionalFormatting xmlns:xm="http://schemas.microsoft.com/office/excel/2006/main">
          <x14:cfRule type="containsText" priority="49" operator="containsText" id="{D56A2182-5DCE-41A1-A771-16AA14EA06C2}">
            <xm:f>NOT(ISERROR(SEARCH(Low,J13)))</xm:f>
            <xm:f>Low</xm:f>
            <x14:dxf>
              <font>
                <color rgb="FF9C5700"/>
              </font>
              <fill>
                <patternFill>
                  <bgColor rgb="FFFFEB9C"/>
                </patternFill>
              </fill>
            </x14:dxf>
          </x14:cfRule>
          <xm:sqref>J13</xm:sqref>
        </x14:conditionalFormatting>
        <x14:conditionalFormatting xmlns:xm="http://schemas.microsoft.com/office/excel/2006/main">
          <x14:cfRule type="containsText" priority="44" operator="containsText" id="{39FDE752-2FBC-4964-B190-1996CF5B5607}">
            <xm:f>NOT(ISERROR(SEARCH(Low,J12)))</xm:f>
            <xm:f>Low</xm:f>
            <x14:dxf>
              <font>
                <color rgb="FF9C5700"/>
              </font>
              <fill>
                <patternFill>
                  <bgColor rgb="FFFFEB9C"/>
                </patternFill>
              </fill>
            </x14:dxf>
          </x14:cfRule>
          <xm:sqref>J12</xm:sqref>
        </x14:conditionalFormatting>
        <x14:conditionalFormatting xmlns:xm="http://schemas.microsoft.com/office/excel/2006/main">
          <x14:cfRule type="containsText" priority="39" operator="containsText" id="{C6B9BD02-7F9E-4034-BF3C-EFE66456E913}">
            <xm:f>NOT(ISERROR(SEARCH(Low,H12)))</xm:f>
            <xm:f>Low</xm:f>
            <x14:dxf>
              <font>
                <color rgb="FF9C5700"/>
              </font>
              <fill>
                <patternFill>
                  <bgColor rgb="FFFFEB9C"/>
                </patternFill>
              </fill>
            </x14:dxf>
          </x14:cfRule>
          <xm:sqref>H12</xm:sqref>
        </x14:conditionalFormatting>
        <x14:conditionalFormatting xmlns:xm="http://schemas.microsoft.com/office/excel/2006/main">
          <x14:cfRule type="containsText" priority="34" operator="containsText" id="{5203E71C-D011-48D0-B286-4E5087CB5B81}">
            <xm:f>NOT(ISERROR(SEARCH(Low,H13)))</xm:f>
            <xm:f>Low</xm:f>
            <x14:dxf>
              <font>
                <color rgb="FF9C5700"/>
              </font>
              <fill>
                <patternFill>
                  <bgColor rgb="FFFFEB9C"/>
                </patternFill>
              </fill>
            </x14:dxf>
          </x14:cfRule>
          <xm:sqref>H13</xm:sqref>
        </x14:conditionalFormatting>
        <x14:conditionalFormatting xmlns:xm="http://schemas.microsoft.com/office/excel/2006/main">
          <x14:cfRule type="containsText" priority="29" operator="containsText" id="{5D7D2AD6-B6C1-4576-8BCE-F1F4F19A09A9}">
            <xm:f>NOT(ISERROR(SEARCH(Low,F13)))</xm:f>
            <xm:f>Low</xm:f>
            <x14:dxf>
              <font>
                <color rgb="FF9C5700"/>
              </font>
              <fill>
                <patternFill>
                  <bgColor rgb="FFFFEB9C"/>
                </patternFill>
              </fill>
            </x14:dxf>
          </x14:cfRule>
          <xm:sqref>F13</xm:sqref>
        </x14:conditionalFormatting>
        <x14:conditionalFormatting xmlns:xm="http://schemas.microsoft.com/office/excel/2006/main">
          <x14:cfRule type="containsText" priority="24" operator="containsText" id="{023AD0A3-00E0-4178-A98A-AB36C9949673}">
            <xm:f>NOT(ISERROR(SEARCH(Low,F12)))</xm:f>
            <xm:f>Low</xm:f>
            <x14:dxf>
              <font>
                <color rgb="FF9C5700"/>
              </font>
              <fill>
                <patternFill>
                  <bgColor rgb="FFFFEB9C"/>
                </patternFill>
              </fill>
            </x14:dxf>
          </x14:cfRule>
          <xm:sqref>F12</xm:sqref>
        </x14:conditionalFormatting>
        <x14:conditionalFormatting xmlns:xm="http://schemas.microsoft.com/office/excel/2006/main">
          <x14:cfRule type="containsText" priority="19" operator="containsText" id="{801E2020-B2A8-406F-99CC-AAA3424594C5}">
            <xm:f>NOT(ISERROR(SEARCH(Low,C12)))</xm:f>
            <xm:f>Low</xm:f>
            <x14:dxf>
              <font>
                <color rgb="FF9C5700"/>
              </font>
              <fill>
                <patternFill>
                  <bgColor rgb="FFFFEB9C"/>
                </patternFill>
              </fill>
            </x14:dxf>
          </x14:cfRule>
          <xm:sqref>C12</xm:sqref>
        </x14:conditionalFormatting>
        <x14:conditionalFormatting xmlns:xm="http://schemas.microsoft.com/office/excel/2006/main">
          <x14:cfRule type="containsText" priority="14" operator="containsText" id="{795B321F-C701-4C6B-957C-7C0156E5BE9A}">
            <xm:f>NOT(ISERROR(SEARCH(Low,C13)))</xm:f>
            <xm:f>Low</xm:f>
            <x14:dxf>
              <font>
                <color rgb="FF9C5700"/>
              </font>
              <fill>
                <patternFill>
                  <bgColor rgb="FFFFEB9C"/>
                </patternFill>
              </fill>
            </x14:dxf>
          </x14:cfRule>
          <xm:sqref>C13</xm:sqref>
        </x14:conditionalFormatting>
        <x14:conditionalFormatting xmlns:xm="http://schemas.microsoft.com/office/excel/2006/main">
          <x14:cfRule type="containsText" priority="9" operator="containsText" id="{8B802D2A-B1BE-4998-B5A4-1A98D8FC94C6}">
            <xm:f>NOT(ISERROR(SEARCH(Low,D13)))</xm:f>
            <xm:f>Low</xm:f>
            <x14:dxf>
              <font>
                <color rgb="FF9C5700"/>
              </font>
              <fill>
                <patternFill>
                  <bgColor rgb="FFFFEB9C"/>
                </patternFill>
              </fill>
            </x14:dxf>
          </x14:cfRule>
          <xm:sqref>D13</xm:sqref>
        </x14:conditionalFormatting>
        <x14:conditionalFormatting xmlns:xm="http://schemas.microsoft.com/office/excel/2006/main">
          <x14:cfRule type="containsText" priority="4" operator="containsText" id="{2B621DAB-AD72-442B-8400-12A131F939C0}">
            <xm:f>NOT(ISERROR(SEARCH(Low,D12)))</xm:f>
            <xm:f>Low</xm:f>
            <x14:dxf>
              <font>
                <color rgb="FF9C5700"/>
              </font>
              <fill>
                <patternFill>
                  <bgColor rgb="FFFFEB9C"/>
                </patternFill>
              </fill>
            </x14:dxf>
          </x14:cfRule>
          <xm:sqref>D12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Main</vt:lpstr>
      <vt:lpstr>Detailed</vt:lpstr>
      <vt:lpstr>Mean</vt:lpstr>
      <vt:lpstr>Services</vt:lpstr>
      <vt:lpstr>LSs</vt:lpstr>
      <vt:lpstr>QLs</vt:lpstr>
      <vt:lpstr>PTs</vt:lpstr>
      <vt:lpstr>ILs</vt:lpstr>
      <vt:lpstr>Users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Vadim</dc:creator>
  <cp:lastModifiedBy>user</cp:lastModifiedBy>
  <cp:lastPrinted>2020-05-15T17:16:31Z</cp:lastPrinted>
  <dcterms:created xsi:type="dcterms:W3CDTF">2015-06-05T18:19:34Z</dcterms:created>
  <dcterms:modified xsi:type="dcterms:W3CDTF">2020-09-10T11:08:27Z</dcterms:modified>
</cp:coreProperties>
</file>